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8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9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11.xml" ContentType="application/vnd.openxmlformats-officedocument.spreadsheetml.comments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12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/comment13.xml" ContentType="application/vnd.openxmlformats-officedocument.spreadsheetml.comment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omments/comment14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5.xml" ContentType="application/vnd.openxmlformats-officedocument.spreadsheetml.comments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omments/comment16.xml" ContentType="application/vnd.openxmlformats-officedocument.spreadsheetml.comments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380" yWindow="600" windowWidth="15420" windowHeight="16360" tabRatio="600" firstSheet="2" activeTab="2" autoFilterDateGrouping="1"/>
  </bookViews>
  <sheets>
    <sheet name="Modelo de dominio" sheetId="1" state="visible" r:id="rId1"/>
    <sheet name="Modelo de dominio anémico" sheetId="2" state="visible" r:id="rId2"/>
    <sheet name="ListadoObjetosDominio" sheetId="3" state="visible" r:id="rId3"/>
    <sheet name="M-Cliente" sheetId="4" state="visible" r:id="rId4"/>
    <sheet name="C-Cliente" sheetId="5" state="visible" r:id="rId5"/>
    <sheet name="E-Cliente" sheetId="6" state="visible" r:id="rId6"/>
    <sheet name="M-Administrador" sheetId="7" state="visible" r:id="rId7"/>
    <sheet name="C-Administrador" sheetId="8" state="visible" r:id="rId8"/>
    <sheet name="E-Administrador" sheetId="9" state="visible" r:id="rId9"/>
    <sheet name="M-Dirección" sheetId="10" state="visible" r:id="rId10"/>
    <sheet name="C-Direccion" sheetId="11" state="visible" r:id="rId11"/>
    <sheet name="E-Direccion" sheetId="12" state="visible" r:id="rId12"/>
    <sheet name="M-Categoria" sheetId="13" state="visible" r:id="rId13"/>
    <sheet name="C-Categoria" sheetId="14" state="visible" r:id="rId14"/>
    <sheet name="E-Categoria" sheetId="15" state="visible" r:id="rId15"/>
    <sheet name="M-Producto" sheetId="16" state="visible" r:id="rId16"/>
    <sheet name="C-Producto" sheetId="17" state="visible" r:id="rId17"/>
    <sheet name="E-Producto" sheetId="18" state="visible" r:id="rId18"/>
    <sheet name="M-ImagenProducto" sheetId="19" state="visible" r:id="rId19"/>
    <sheet name="C-ImagenProducto " sheetId="20" state="visible" r:id="rId20"/>
    <sheet name="E-ImagenProducto" sheetId="21" state="visible" r:id="rId21"/>
    <sheet name="M-Reseña" sheetId="22" state="visible" r:id="rId22"/>
    <sheet name="C-Reseña" sheetId="23" state="visible" r:id="rId23"/>
    <sheet name="E-Reseña" sheetId="24" state="visible" r:id="rId24"/>
    <sheet name="M-CarritoCompras" sheetId="25" state="visible" r:id="rId25"/>
    <sheet name="C-CarritoCompras" sheetId="26" state="visible" r:id="rId26"/>
    <sheet name="E-CarritoCompras" sheetId="27" state="visible" r:id="rId27"/>
    <sheet name="M-ItemCarrito" sheetId="28" state="visible" r:id="rId28"/>
    <sheet name="C-ItemCarrito" sheetId="29" state="visible" r:id="rId29"/>
    <sheet name="E-ItemCarrito" sheetId="30" state="visible" r:id="rId30"/>
    <sheet name="M-Pedido" sheetId="31" state="visible" r:id="rId31"/>
    <sheet name="C-Pedido" sheetId="32" state="visible" r:id="rId32"/>
    <sheet name="E-Pedido" sheetId="33" state="visible" r:id="rId33"/>
    <sheet name="M-LineaPedido" sheetId="34" state="visible" r:id="rId34"/>
    <sheet name="C-LineaPedido" sheetId="35" state="visible" r:id="rId35"/>
    <sheet name="E-LineaPedido" sheetId="36" state="visible" r:id="rId36"/>
    <sheet name="M-Pagos" sheetId="37" state="visible" r:id="rId37"/>
    <sheet name="C-Pagos" sheetId="38" state="visible" r:id="rId38"/>
    <sheet name="E-Pagos" sheetId="39" state="visible" r:id="rId39"/>
    <sheet name="M-MetodoPago" sheetId="40" state="visible" r:id="rId40"/>
    <sheet name="C-MetodoPago" sheetId="41" state="visible" r:id="rId41"/>
    <sheet name="E-MetodoPago" sheetId="42" state="visible" r:id="rId42"/>
    <sheet name="M-Factura" sheetId="43" state="visible" r:id="rId43"/>
    <sheet name="C-Factura" sheetId="44" state="visible" r:id="rId44"/>
    <sheet name="E-Factura" sheetId="45" state="visible" r:id="rId45"/>
    <sheet name="M-Envio" sheetId="46" state="visible" r:id="rId46"/>
    <sheet name="C-Envio" sheetId="47" state="visible" r:id="rId47"/>
    <sheet name="E-Envio" sheetId="48" state="visible" r:id="rId48"/>
    <sheet name="M-EnvioRastreo" sheetId="49" state="visible" r:id="rId49"/>
    <sheet name="C-EnvioRastreo" sheetId="50" state="visible" r:id="rId50"/>
    <sheet name="E-EnvioRastreo" sheetId="51" state="visible" r:id="rId5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;[Red]\-&quot;$&quot;#,##0"/>
  </numFmts>
  <fonts count="33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7"/>
      <scheme val="minor"/>
    </font>
    <font>
      <name val="Aptos Narrow"/>
      <b val="1"/>
      <sz val="11"/>
    </font>
    <font>
      <name val="Aptos Narrow"/>
      <i val="1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Aptos Narrow"/>
      <family val="2"/>
      <color rgb="FF467886"/>
      <sz val="12"/>
      <u val="single"/>
      <scheme val="minor"/>
    </font>
    <font>
      <name val="Aptos Narrow"/>
      <family val="2"/>
      <color theme="1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Aptos Narrow"/>
      <b val="1"/>
      <color rgb="FF000000"/>
      <sz val="18"/>
    </font>
    <font>
      <name val="Aptos Narrow"/>
      <color rgb="FF000000"/>
      <sz val="10"/>
    </font>
    <font>
      <name val="Aptos Narrow"/>
      <color rgb="FF000000"/>
      <sz val="18"/>
    </font>
    <font>
      <name val="Arial"/>
      <family val="2"/>
      <sz val="10"/>
    </font>
    <font>
      <name val="Arial"/>
      <family val="2"/>
      <b val="1"/>
      <sz val="10"/>
    </font>
    <font>
      <name val="Aptos Narrow"/>
      <family val="2"/>
      <i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rial"/>
      <family val="2"/>
      <color rgb="FF0000FF"/>
      <sz val="10"/>
      <u val="single"/>
    </font>
    <font>
      <name val="Aptos Narrow"/>
      <family val="2"/>
      <b val="1"/>
      <color rgb="FF000000"/>
      <sz val="10"/>
      <scheme val="minor"/>
    </font>
    <font>
      <name val="Calibri"/>
      <family val="2"/>
      <color rgb="FF5B9BD5"/>
      <sz val="11"/>
      <u val="single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sz val="8"/>
      <scheme val="minor"/>
    </font>
    <font>
      <name val="PplxSans"/>
      <charset val="1"/>
      <color theme="1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00000"/>
      <sz val="10"/>
    </font>
    <font>
      <name val="Aptos Narrow"/>
      <family val="2"/>
      <color rgb="FF467886"/>
      <sz val="11"/>
      <u val="single"/>
    </font>
    <font>
      <name val="Aptos Narrow"/>
      <color rgb="FF000000"/>
      <sz val="11"/>
    </font>
    <font>
      <name val="Aptos Narrow"/>
      <color rgb="FF000000"/>
      <sz val="11"/>
      <scheme val="minor"/>
    </font>
  </fonts>
  <fills count="7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theme="6" tint="0.7999816888943144"/>
        <bgColor rgb="FFFFF2CC"/>
      </patternFill>
    </fill>
    <fill>
      <patternFill patternType="solid">
        <fgColor theme="8" tint="0.7999816888943144"/>
        <bgColor rgb="FFD9E1F2"/>
      </patternFill>
    </fill>
    <fill>
      <patternFill patternType="solid">
        <fgColor theme="8" tint="0.7999816888943144"/>
        <bgColor rgb="FFE4DFEC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theme="6" tint="0.7999816888943144"/>
        <bgColor rgb="FFC6E0B4"/>
      </patternFill>
    </fill>
    <fill>
      <patternFill patternType="solid">
        <fgColor theme="5" tint="0.7999816888943144"/>
        <bgColor rgb="FFFFF2CC"/>
      </patternFill>
    </fill>
    <fill>
      <patternFill patternType="solid">
        <fgColor theme="8" tint="0.799981688894314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9BC2E6"/>
        <bgColor rgb="FF9BC2E6"/>
      </patternFill>
    </fill>
    <fill>
      <patternFill patternType="solid">
        <fgColor theme="7" tint="0.5999938962981048"/>
        <bgColor rgb="FF9BC2E6"/>
      </patternFill>
    </fill>
    <fill>
      <patternFill patternType="solid">
        <fgColor theme="7" tint="0.7999816888943144"/>
        <bgColor rgb="FF9BC2E6"/>
      </patternFill>
    </fill>
    <fill>
      <patternFill patternType="solid">
        <fgColor rgb="FFFFF3CC"/>
        <bgColor rgb="FFFFF2CC"/>
      </patternFill>
    </fill>
    <fill>
      <patternFill patternType="solid">
        <fgColor rgb="FFFFF3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FCAA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DD3F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A90B1"/>
        <bgColor rgb="FF000000"/>
      </patternFill>
    </fill>
    <fill>
      <patternFill patternType="solid">
        <fgColor rgb="FFC2A4FC"/>
        <bgColor rgb="FFC2A4FC"/>
      </patternFill>
    </fill>
    <fill>
      <patternFill patternType="solid">
        <fgColor rgb="FFA9D08E"/>
        <bgColor rgb="FFA9D08E"/>
      </patternFill>
    </fill>
    <fill>
      <patternFill patternType="solid">
        <fgColor rgb="FFFF9999"/>
        <bgColor rgb="FFFF9999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D5E8D4"/>
        <bgColor rgb="FFD5E8D4"/>
      </patternFill>
    </fill>
    <fill>
      <patternFill patternType="solid">
        <fgColor theme="8" tint="0.5999938962981048"/>
        <bgColor rgb="FFE1DFE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5CCC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DAE2F2"/>
        <bgColor rgb="FFD9E1F2"/>
      </patternFill>
    </fill>
    <fill>
      <patternFill patternType="solid">
        <fgColor rgb="FFDAE2F2"/>
        <bgColor indexed="64"/>
      </patternFill>
    </fill>
    <fill>
      <patternFill patternType="solid">
        <fgColor rgb="FFFFE69A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CFCD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F5CCCD"/>
        <bgColor rgb="FFFFF2CC"/>
      </patternFill>
    </fill>
    <fill>
      <patternFill patternType="solid">
        <fgColor rgb="FFFCE2D6"/>
        <bgColor rgb="FFFFF2CC"/>
      </patternFill>
    </fill>
    <fill>
      <patternFill patternType="solid">
        <fgColor rgb="FFFCE2D6"/>
        <bgColor indexed="64"/>
      </patternFill>
    </fill>
    <fill>
      <patternFill patternType="solid">
        <fgColor rgb="FFD0D0D0"/>
        <bgColor rgb="FFFFF2CC"/>
      </patternFill>
    </fill>
    <fill>
      <patternFill patternType="solid">
        <fgColor rgb="FFD0D0D0"/>
        <bgColor rgb="FFFFFFFF"/>
      </patternFill>
    </fill>
    <fill>
      <patternFill patternType="solid">
        <fgColor rgb="FFF9CCAD"/>
        <bgColor indexed="64"/>
      </patternFill>
    </fill>
    <fill>
      <patternFill patternType="solid">
        <fgColor rgb="FFF9CCAD"/>
        <bgColor rgb="FFFFE699"/>
      </patternFill>
    </fill>
    <fill>
      <patternFill patternType="solid">
        <fgColor rgb="FFFFE69A"/>
        <bgColor rgb="FFFFE699"/>
      </patternFill>
    </fill>
    <fill>
      <patternFill patternType="solid">
        <fgColor rgb="FFE49EDD"/>
        <bgColor rgb="FFE1DFED"/>
      </patternFill>
    </fill>
    <fill>
      <patternFill patternType="solid">
        <fgColor rgb="FFE49EDD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D9D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3">
    <xf numFmtId="0" fontId="23" fillId="0" borderId="0"/>
    <xf numFmtId="0" fontId="19" fillId="0" borderId="0"/>
    <xf numFmtId="0" fontId="2" fillId="0" borderId="0"/>
  </cellStyleXfs>
  <cellXfs count="38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2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2" fillId="2" borderId="0" applyAlignment="1" pivotButton="0" quotePrefix="0" xfId="2">
      <alignment horizontal="left" vertical="center"/>
    </xf>
    <xf numFmtId="0" fontId="0" fillId="8" borderId="0" pivotButton="0" quotePrefix="0" xfId="0"/>
    <xf numFmtId="0" fontId="5" fillId="9" borderId="0" pivotButton="0" quotePrefix="0" xfId="0"/>
    <xf numFmtId="0" fontId="0" fillId="9" borderId="0" pivotButton="0" quotePrefix="0" xfId="0"/>
    <xf numFmtId="0" fontId="5" fillId="10" borderId="0" applyAlignment="1" pivotButton="0" quotePrefix="0" xfId="0">
      <alignment horizontal="center"/>
    </xf>
    <xf numFmtId="0" fontId="0" fillId="12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5" fillId="13" borderId="0" applyAlignment="1" pivotButton="0" quotePrefix="0" xfId="0">
      <alignment horizontal="center"/>
    </xf>
    <xf numFmtId="0" fontId="0" fillId="14" borderId="0" pivotButton="0" quotePrefix="0" xfId="0"/>
    <xf numFmtId="0" fontId="7" fillId="9" borderId="0" pivotButton="0" quotePrefix="0" xfId="0"/>
    <xf numFmtId="0" fontId="7" fillId="1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8" fillId="8" borderId="0" applyAlignment="1" pivotButton="0" quotePrefix="0" xfId="0">
      <alignment wrapText="1"/>
    </xf>
    <xf numFmtId="0" fontId="9" fillId="15" borderId="0" applyAlignment="1" pivotButton="0" quotePrefix="0" xfId="0">
      <alignment horizontal="left" vertic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vertical="top" wrapText="1"/>
    </xf>
    <xf numFmtId="0" fontId="0" fillId="12" borderId="0" pivotButton="0" quotePrefix="0" xfId="0"/>
    <xf numFmtId="0" fontId="0" fillId="17" borderId="0" pivotButton="0" quotePrefix="0" xfId="0"/>
    <xf numFmtId="0" fontId="0" fillId="18" borderId="0" applyAlignment="1" pivotButton="0" quotePrefix="0" xfId="0">
      <alignment horizontal="center"/>
    </xf>
    <xf numFmtId="0" fontId="10" fillId="8" borderId="0" pivotButton="0" quotePrefix="0" xfId="2"/>
    <xf numFmtId="0" fontId="10" fillId="19" borderId="0" pivotButton="0" quotePrefix="0" xfId="2"/>
    <xf numFmtId="0" fontId="0" fillId="17" borderId="0" applyAlignment="1" pivotButton="0" quotePrefix="0" xfId="0">
      <alignment vertical="top"/>
    </xf>
    <xf numFmtId="0" fontId="0" fillId="20" borderId="0" pivotButton="0" quotePrefix="0" xfId="0"/>
    <xf numFmtId="0" fontId="2" fillId="20" borderId="0" applyAlignment="1" pivotButton="0" quotePrefix="0" xfId="2">
      <alignment horizontal="left"/>
    </xf>
    <xf numFmtId="0" fontId="2" fillId="20" borderId="0" applyAlignment="1" pivotButton="0" quotePrefix="0" xfId="2">
      <alignment horizontal="center"/>
    </xf>
    <xf numFmtId="0" fontId="0" fillId="2" borderId="0" pivotButton="0" quotePrefix="0" xfId="0"/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6" borderId="1" pivotButton="0" quotePrefix="0" xfId="0"/>
    <xf numFmtId="0" fontId="0" fillId="20" borderId="0" applyAlignment="1" pivotButton="0" quotePrefix="0" xfId="0">
      <alignment wrapText="1"/>
    </xf>
    <xf numFmtId="0" fontId="7" fillId="21" borderId="1" applyAlignment="1" pivotButton="0" quotePrefix="0" xfId="0">
      <alignment horizontal="center" vertical="center" wrapText="1"/>
    </xf>
    <xf numFmtId="0" fontId="16" fillId="22" borderId="1" applyAlignment="1" pivotButton="0" quotePrefix="0" xfId="0">
      <alignment horizontal="left" vertical="top" wrapText="1"/>
    </xf>
    <xf numFmtId="0" fontId="17" fillId="23" borderId="1" applyAlignment="1" pivotButton="0" quotePrefix="0" xfId="0">
      <alignment horizontal="center" vertical="center" wrapText="1"/>
    </xf>
    <xf numFmtId="0" fontId="17" fillId="2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top" wrapText="1"/>
    </xf>
    <xf numFmtId="0" fontId="17" fillId="25" borderId="1" applyAlignment="1" pivotButton="0" quotePrefix="0" xfId="0">
      <alignment horizontal="center" vertical="center" wrapText="1"/>
    </xf>
    <xf numFmtId="0" fontId="16" fillId="22" borderId="2" applyAlignment="1" pivotButton="0" quotePrefix="0" xfId="0">
      <alignment horizontal="left" vertical="top" wrapText="1"/>
    </xf>
    <xf numFmtId="0" fontId="16" fillId="22" borderId="3" applyAlignment="1" pivotButton="0" quotePrefix="0" xfId="0">
      <alignment horizontal="left" vertical="top" wrapText="1"/>
    </xf>
    <xf numFmtId="0" fontId="16" fillId="22" borderId="4" applyAlignment="1" pivotButton="0" quotePrefix="0" xfId="0">
      <alignment horizontal="left" vertical="top" wrapText="1"/>
    </xf>
    <xf numFmtId="0" fontId="17" fillId="2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top"/>
    </xf>
    <xf numFmtId="0" fontId="0" fillId="6" borderId="1" applyAlignment="1" pivotButton="0" quotePrefix="0" xfId="0">
      <alignment wrapText="1"/>
    </xf>
    <xf numFmtId="0" fontId="5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16" borderId="0" applyAlignment="1" pivotButton="0" quotePrefix="0" xfId="0">
      <alignment vertical="top"/>
    </xf>
    <xf numFmtId="0" fontId="0" fillId="26" borderId="0" applyAlignment="1" pivotButton="0" quotePrefix="0" xfId="0">
      <alignment horizontal="left" vertical="top"/>
    </xf>
    <xf numFmtId="0" fontId="0" fillId="27" borderId="0" applyAlignment="1" pivotButton="0" quotePrefix="0" xfId="0">
      <alignment horizontal="left" vertical="top"/>
    </xf>
    <xf numFmtId="0" fontId="20" fillId="0" borderId="0" pivotButton="0" quotePrefix="0" xfId="1"/>
    <xf numFmtId="0" fontId="19" fillId="0" borderId="0" pivotButton="0" quotePrefix="0" xfId="1"/>
    <xf numFmtId="0" fontId="17" fillId="29" borderId="1" pivotButton="0" quotePrefix="0" xfId="1"/>
    <xf numFmtId="0" fontId="21" fillId="31" borderId="10" applyAlignment="1" pivotButton="0" quotePrefix="0" xfId="0">
      <alignment horizontal="center" vertical="center"/>
    </xf>
    <xf numFmtId="0" fontId="21" fillId="33" borderId="1" applyAlignment="1" pivotButton="0" quotePrefix="0" xfId="0">
      <alignment horizontal="center" vertical="center" wrapText="1"/>
    </xf>
    <xf numFmtId="0" fontId="21" fillId="36" borderId="1" applyAlignment="1" pivotButton="0" quotePrefix="0" xfId="0">
      <alignment horizontal="center" vertical="center" wrapText="1"/>
    </xf>
    <xf numFmtId="0" fontId="21" fillId="37" borderId="1" applyAlignment="1" pivotButton="0" quotePrefix="0" xfId="0">
      <alignment horizontal="center" vertical="center" wrapText="1"/>
    </xf>
    <xf numFmtId="0" fontId="21" fillId="38" borderId="1" applyAlignment="1" pivotButton="0" quotePrefix="0" xfId="0">
      <alignment horizontal="center" vertical="center" wrapText="1"/>
    </xf>
    <xf numFmtId="0" fontId="21" fillId="34" borderId="1" applyAlignment="1" pivotButton="0" quotePrefix="0" xfId="0">
      <alignment horizontal="center" vertical="center" wrapText="1"/>
    </xf>
    <xf numFmtId="0" fontId="21" fillId="3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1">
      <alignment horizontal="left" vertical="center" wrapText="1"/>
    </xf>
    <xf numFmtId="0" fontId="7" fillId="39" borderId="1" applyAlignment="1" pivotButton="0" quotePrefix="0" xfId="1">
      <alignment horizontal="center" vertical="top" wrapText="1"/>
    </xf>
    <xf numFmtId="0" fontId="7" fillId="40" borderId="1" applyAlignment="1" pivotButton="0" quotePrefix="0" xfId="1">
      <alignment horizontal="center" vertical="top" wrapText="1"/>
    </xf>
    <xf numFmtId="0" fontId="7" fillId="41" borderId="1" applyAlignment="1" pivotButton="0" quotePrefix="0" xfId="1">
      <alignment horizontal="center" vertical="top" wrapText="1"/>
    </xf>
    <xf numFmtId="0" fontId="7" fillId="42" borderId="1" applyAlignment="1" pivotButton="0" quotePrefix="0" xfId="1">
      <alignment horizontal="center" vertical="top" wrapText="1"/>
    </xf>
    <xf numFmtId="0" fontId="7" fillId="43" borderId="1" applyAlignment="1" pivotButton="0" quotePrefix="0" xfId="1">
      <alignment horizontal="center" vertical="top" wrapText="1"/>
    </xf>
    <xf numFmtId="0" fontId="7" fillId="30" borderId="1" applyAlignment="1" pivotButton="0" quotePrefix="0" xfId="1">
      <alignment horizontal="center" vertical="top" wrapText="1"/>
    </xf>
    <xf numFmtId="0" fontId="7" fillId="9" borderId="1" applyAlignment="1" pivotButton="0" quotePrefix="0" xfId="1">
      <alignment horizontal="center" vertical="top" wrapText="1"/>
    </xf>
    <xf numFmtId="0" fontId="7" fillId="44" borderId="1" pivotButton="0" quotePrefix="0" xfId="1"/>
    <xf numFmtId="0" fontId="22" fillId="0" borderId="0" pivotButton="0" quotePrefix="0" xfId="1"/>
    <xf numFmtId="0" fontId="7" fillId="0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0" fillId="28" borderId="1" pivotButton="0" quotePrefix="0" xfId="0"/>
    <xf numFmtId="0" fontId="0" fillId="46" borderId="1" pivotButton="0" quotePrefix="0" xfId="0"/>
    <xf numFmtId="0" fontId="0" fillId="48" borderId="1" pivotButton="0" quotePrefix="0" xfId="0"/>
    <xf numFmtId="0" fontId="0" fillId="0" borderId="2" pivotButton="0" quotePrefix="0" xfId="0"/>
    <xf numFmtId="0" fontId="0" fillId="7" borderId="3" pivotButton="0" quotePrefix="0" xfId="0"/>
    <xf numFmtId="0" fontId="0" fillId="7" borderId="9" pivotButton="0" quotePrefix="0" xfId="0"/>
    <xf numFmtId="0" fontId="0" fillId="7" borderId="4" pivotButton="0" quotePrefix="0" xfId="0"/>
    <xf numFmtId="0" fontId="0" fillId="20" borderId="7" pivotButton="0" quotePrefix="0" xfId="0"/>
    <xf numFmtId="0" fontId="0" fillId="7" borderId="0" pivotButton="0" quotePrefix="0" xfId="0"/>
    <xf numFmtId="0" fontId="2" fillId="28" borderId="3" pivotButton="0" quotePrefix="0" xfId="2"/>
    <xf numFmtId="0" fontId="0" fillId="49" borderId="1" pivotButton="0" quotePrefix="0" xfId="0"/>
    <xf numFmtId="0" fontId="0" fillId="50" borderId="1" pivotButton="0" quotePrefix="0" xfId="0"/>
    <xf numFmtId="0" fontId="2" fillId="28" borderId="1" pivotButton="0" quotePrefix="0" xfId="2"/>
    <xf numFmtId="0" fontId="2" fillId="49" borderId="1" pivotButton="0" quotePrefix="0" xfId="2"/>
    <xf numFmtId="0" fontId="2" fillId="46" borderId="1" pivotButton="0" quotePrefix="0" xfId="2"/>
    <xf numFmtId="0" fontId="2" fillId="50" borderId="1" pivotButton="0" quotePrefix="0" xfId="2"/>
    <xf numFmtId="0" fontId="19" fillId="0" borderId="1" pivotButton="0" quotePrefix="0" xfId="1"/>
    <xf numFmtId="0" fontId="0" fillId="0" borderId="13" applyAlignment="1" pivotButton="0" quotePrefix="0" xfId="0">
      <alignment wrapText="1"/>
    </xf>
    <xf numFmtId="0" fontId="0" fillId="0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top"/>
    </xf>
    <xf numFmtId="0" fontId="7" fillId="51" borderId="0" applyAlignment="1" pivotButton="0" quotePrefix="0" xfId="0">
      <alignment horizontal="center"/>
    </xf>
    <xf numFmtId="0" fontId="10" fillId="52" borderId="0" pivotButton="0" quotePrefix="0" xfId="2"/>
    <xf numFmtId="0" fontId="24" fillId="28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3" fillId="3" borderId="9" applyAlignment="1" pivotButton="0" quotePrefix="0" xfId="0">
      <alignment vertical="center"/>
    </xf>
    <xf numFmtId="0" fontId="4" fillId="4" borderId="3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58" borderId="0" pivotButton="0" quotePrefix="0" xfId="0"/>
    <xf numFmtId="0" fontId="23" fillId="0" borderId="1" applyAlignment="1" pivotButton="0" quotePrefix="0" xfId="2">
      <alignment vertical="center"/>
    </xf>
    <xf numFmtId="0" fontId="23" fillId="0" borderId="1" applyAlignment="1" pivotButton="0" quotePrefix="0" xfId="2">
      <alignment vertical="center" wrapText="1"/>
    </xf>
    <xf numFmtId="0" fontId="0" fillId="9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0" fillId="63" borderId="1" applyAlignment="1" pivotButton="0" quotePrefix="0" xfId="0">
      <alignment vertical="center"/>
    </xf>
    <xf numFmtId="0" fontId="2" fillId="63" borderId="1" applyAlignment="1" pivotButton="0" quotePrefix="0" xfId="2">
      <alignment vertical="center"/>
    </xf>
    <xf numFmtId="0" fontId="0" fillId="61" borderId="0" pivotButton="0" quotePrefix="0" xfId="0"/>
    <xf numFmtId="0" fontId="2" fillId="19" borderId="0" pivotButton="0" quotePrefix="0" xfId="2"/>
    <xf numFmtId="0" fontId="2" fillId="59" borderId="0" pivotButton="0" quotePrefix="0" xfId="2"/>
    <xf numFmtId="0" fontId="7" fillId="9" borderId="0" applyAlignment="1" pivotButton="0" quotePrefix="0" xfId="0">
      <alignment vertical="top"/>
    </xf>
    <xf numFmtId="0" fontId="2" fillId="66" borderId="0" pivotButton="0" quotePrefix="0" xfId="2"/>
    <xf numFmtId="0" fontId="0" fillId="67" borderId="0" applyAlignment="1" pivotButton="0" quotePrefix="0" xfId="0">
      <alignment horizontal="center"/>
    </xf>
    <xf numFmtId="0" fontId="2" fillId="67" borderId="0" applyAlignment="1" pivotButton="0" quotePrefix="0" xfId="2">
      <alignment horizontal="center"/>
    </xf>
    <xf numFmtId="14" fontId="0" fillId="8" borderId="0" pivotButton="0" quotePrefix="0" xfId="0"/>
    <xf numFmtId="0" fontId="2" fillId="67" borderId="0" applyAlignment="1" pivotButton="0" quotePrefix="0" xfId="2">
      <alignment horizontal="center" vertical="center"/>
    </xf>
    <xf numFmtId="0" fontId="23" fillId="0" borderId="0" pivotButton="0" quotePrefix="0" xfId="2"/>
    <xf numFmtId="0" fontId="0" fillId="2" borderId="0" applyAlignment="1" pivotButton="0" quotePrefix="0" xfId="0">
      <alignment horizontal="center" vertical="center"/>
    </xf>
    <xf numFmtId="14" fontId="0" fillId="68" borderId="0" applyAlignment="1" pivotButton="0" quotePrefix="0" xfId="0">
      <alignment horizontal="center" vertical="center"/>
    </xf>
    <xf numFmtId="0" fontId="0" fillId="68" borderId="0" applyAlignment="1" pivotButton="0" quotePrefix="0" xfId="0">
      <alignment horizontal="center" vertical="center"/>
    </xf>
    <xf numFmtId="14" fontId="0" fillId="55" borderId="0" applyAlignment="1" pivotButton="0" quotePrefix="0" xfId="0">
      <alignment horizontal="center"/>
    </xf>
    <xf numFmtId="0" fontId="0" fillId="55" borderId="0" applyAlignment="1" pivotButton="0" quotePrefix="0" xfId="0">
      <alignment horizontal="center"/>
    </xf>
    <xf numFmtId="14" fontId="0" fillId="68" borderId="0" applyAlignment="1" pivotButton="0" quotePrefix="0" xfId="0">
      <alignment horizontal="center"/>
    </xf>
    <xf numFmtId="0" fontId="0" fillId="68" borderId="0" applyAlignment="1" pivotButton="0" quotePrefix="0" xfId="0">
      <alignment horizontal="center"/>
    </xf>
    <xf numFmtId="164" fontId="0" fillId="68" borderId="0" applyAlignment="1" pivotButton="0" quotePrefix="0" xfId="0">
      <alignment horizontal="center" vertical="center"/>
    </xf>
    <xf numFmtId="0" fontId="23" fillId="0" borderId="0" applyAlignment="1" pivotButton="0" quotePrefix="0" xfId="2">
      <alignment horizontal="center"/>
    </xf>
    <xf numFmtId="0" fontId="2" fillId="2" borderId="0" applyAlignment="1" pivotButton="0" quotePrefix="0" xfId="2">
      <alignment horizontal="left" vertical="center"/>
    </xf>
    <xf numFmtId="0" fontId="0" fillId="0" borderId="0" applyAlignment="1" pivotButton="0" quotePrefix="0" xfId="2">
      <alignment horizontal="center"/>
    </xf>
    <xf numFmtId="0" fontId="2" fillId="14" borderId="0" pivotButton="0" quotePrefix="0" xfId="2"/>
    <xf numFmtId="0" fontId="23" fillId="55" borderId="0" applyAlignment="1" pivotButton="0" quotePrefix="0" xfId="2">
      <alignment horizontal="center"/>
    </xf>
    <xf numFmtId="14" fontId="23" fillId="55" borderId="0" applyAlignment="1" pivotButton="0" quotePrefix="0" xfId="2">
      <alignment horizontal="center"/>
    </xf>
    <xf numFmtId="14" fontId="0" fillId="55" borderId="0" applyAlignment="1" pivotButton="0" quotePrefix="0" xfId="2">
      <alignment horizontal="center"/>
    </xf>
    <xf numFmtId="0" fontId="2" fillId="0" borderId="0" applyAlignment="1" pivotButton="0" quotePrefix="0" xfId="2">
      <alignment horizontal="center"/>
    </xf>
    <xf numFmtId="0" fontId="2" fillId="14" borderId="0" applyAlignment="1" pivotButton="0" quotePrefix="0" xfId="2">
      <alignment horizontal="center"/>
    </xf>
    <xf numFmtId="0" fontId="2" fillId="55" borderId="0" applyAlignment="1" pivotButton="0" quotePrefix="0" xfId="2">
      <alignment horizontal="center"/>
    </xf>
    <xf numFmtId="0" fontId="2" fillId="0" borderId="1" applyAlignment="1" pivotButton="0" quotePrefix="0" xfId="2">
      <alignment horizontal="center" vertical="center"/>
    </xf>
    <xf numFmtId="0" fontId="26" fillId="0" borderId="0" pivotButton="0" quotePrefix="0" xfId="0"/>
    <xf numFmtId="0" fontId="17" fillId="23" borderId="13" applyAlignment="1" pivotButton="0" quotePrefix="0" xfId="0">
      <alignment horizontal="center" vertical="center" wrapText="1"/>
    </xf>
    <xf numFmtId="0" fontId="0" fillId="14" borderId="15" applyAlignment="1" pivotButton="0" quotePrefix="0" xfId="0">
      <alignment horizontal="left" vertical="top" wrapText="1"/>
    </xf>
    <xf numFmtId="0" fontId="7" fillId="21" borderId="9" applyAlignment="1" pivotButton="0" quotePrefix="0" xfId="0">
      <alignment horizontal="center" vertical="center" wrapText="1"/>
    </xf>
    <xf numFmtId="0" fontId="0" fillId="6" borderId="9" applyAlignment="1" pivotButton="0" quotePrefix="0" xfId="0">
      <alignment wrapText="1"/>
    </xf>
    <xf numFmtId="0" fontId="0" fillId="6" borderId="15" pivotButton="0" quotePrefix="0" xfId="0"/>
    <xf numFmtId="0" fontId="2" fillId="59" borderId="1" pivotButton="0" quotePrefix="0" xfId="2"/>
    <xf numFmtId="0" fontId="2" fillId="22" borderId="1" applyAlignment="1" pivotButton="0" quotePrefix="0" xfId="2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2">
      <alignment horizontal="left" vertical="center" wrapText="1"/>
    </xf>
    <xf numFmtId="0" fontId="19" fillId="0" borderId="1" applyAlignment="1" pivotButton="0" quotePrefix="0" xfId="1">
      <alignment horizontal="center" vertical="center" wrapText="1"/>
    </xf>
    <xf numFmtId="0" fontId="19" fillId="0" borderId="9" applyAlignment="1" pivotButton="0" quotePrefix="0" xfId="1">
      <alignment horizontal="left" vertical="center" wrapText="1"/>
    </xf>
    <xf numFmtId="0" fontId="19" fillId="0" borderId="1" applyAlignment="1" pivotButton="0" quotePrefix="0" xfId="1">
      <alignment vertical="center" wrapText="1"/>
    </xf>
    <xf numFmtId="0" fontId="19" fillId="0" borderId="1" applyAlignment="1" pivotButton="0" quotePrefix="0" xfId="1">
      <alignment horizontal="center" vertical="center"/>
    </xf>
    <xf numFmtId="0" fontId="19" fillId="0" borderId="1" applyAlignment="1" pivotButton="0" quotePrefix="0" xfId="1">
      <alignment wrapText="1"/>
    </xf>
    <xf numFmtId="0" fontId="19" fillId="0" borderId="1" applyAlignment="1" pivotButton="0" quotePrefix="0" xfId="1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center" vertical="center" wrapText="1"/>
    </xf>
    <xf numFmtId="0" fontId="19" fillId="20" borderId="0" pivotButton="0" quotePrefix="0" xfId="1"/>
    <xf numFmtId="0" fontId="19" fillId="0" borderId="13" applyAlignment="1" pivotButton="0" quotePrefix="0" xfId="1">
      <alignment horizontal="center" vertical="center" wrapText="1"/>
    </xf>
    <xf numFmtId="0" fontId="19" fillId="0" borderId="13" applyAlignment="1" pivotButton="0" quotePrefix="0" xfId="1">
      <alignment horizontal="left" vertical="center" wrapText="1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57" borderId="1" applyAlignment="1" pivotButton="0" quotePrefix="0" xfId="0">
      <alignment wrapText="1"/>
    </xf>
    <xf numFmtId="0" fontId="0" fillId="72" borderId="1" applyAlignment="1" pivotButton="0" quotePrefix="0" xfId="0">
      <alignment horizontal="left" vertical="center" wrapText="1"/>
    </xf>
    <xf numFmtId="0" fontId="0" fillId="72" borderId="1" applyAlignment="1" pivotButton="0" quotePrefix="0" xfId="0">
      <alignment horizontal="center" vertical="center" wrapText="1"/>
    </xf>
    <xf numFmtId="0" fontId="0" fillId="47" borderId="13" applyAlignment="1" pivotButton="0" quotePrefix="0" xfId="0">
      <alignment horizontal="center" vertical="center" wrapText="1"/>
    </xf>
    <xf numFmtId="0" fontId="0" fillId="47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9" fillId="73" borderId="15" applyAlignment="1" pivotButton="0" quotePrefix="0" xfId="0">
      <alignment horizontal="center" vertical="center" wrapText="1"/>
    </xf>
    <xf numFmtId="0" fontId="28" fillId="73" borderId="15" applyAlignment="1" pivotButton="0" quotePrefix="0" xfId="0">
      <alignment horizontal="center" vertical="center" wrapText="1"/>
    </xf>
    <xf numFmtId="0" fontId="28" fillId="71" borderId="15" applyAlignment="1" pivotButton="0" quotePrefix="0" xfId="0">
      <alignment horizontal="center" vertical="center" wrapText="1"/>
    </xf>
    <xf numFmtId="0" fontId="32" fillId="71" borderId="15" applyAlignment="1" pivotButton="0" quotePrefix="0" xfId="0">
      <alignment horizontal="center" vertical="center" wrapText="1"/>
    </xf>
    <xf numFmtId="0" fontId="31" fillId="71" borderId="15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28" fillId="74" borderId="15" applyAlignment="1" pivotButton="0" quotePrefix="0" xfId="0">
      <alignment horizontal="center" vertical="center" wrapText="1"/>
    </xf>
    <xf numFmtId="0" fontId="28" fillId="75" borderId="15" applyAlignment="1" pivotButton="0" quotePrefix="0" xfId="0">
      <alignment horizontal="center" vertical="center" wrapText="1"/>
    </xf>
    <xf numFmtId="0" fontId="28" fillId="73" borderId="15" applyAlignment="1" pivotButton="0" quotePrefix="0" xfId="0">
      <alignment vertical="center" wrapText="1"/>
    </xf>
    <xf numFmtId="0" fontId="29" fillId="73" borderId="15" applyAlignment="1" pivotButton="0" quotePrefix="0" xfId="0">
      <alignment vertical="center" wrapText="1"/>
    </xf>
    <xf numFmtId="0" fontId="31" fillId="6" borderId="15" applyAlignment="1" pivotButton="0" quotePrefix="0" xfId="0">
      <alignment horizontal="center" vertical="center" wrapText="1"/>
    </xf>
    <xf numFmtId="0" fontId="0" fillId="47" borderId="15" applyAlignment="1" pivotButton="0" quotePrefix="0" xfId="0">
      <alignment horizontal="center" vertical="center" wrapText="1"/>
    </xf>
    <xf numFmtId="0" fontId="0" fillId="75" borderId="15" applyAlignment="1" pivotButton="0" quotePrefix="0" xfId="0">
      <alignment horizontal="center" vertical="center" wrapText="1"/>
    </xf>
    <xf numFmtId="0" fontId="0" fillId="6" borderId="15" applyAlignment="1" pivotButton="0" quotePrefix="0" xfId="0">
      <alignment horizontal="center" vertical="center" wrapText="1"/>
    </xf>
    <xf numFmtId="0" fontId="28" fillId="74" borderId="15" applyAlignment="1" pivotButton="0" quotePrefix="0" xfId="0">
      <alignment vertical="center" wrapText="1"/>
    </xf>
    <xf numFmtId="0" fontId="0" fillId="74" borderId="15" applyAlignment="1" pivotButton="0" quotePrefix="0" xfId="0">
      <alignment vertical="center" wrapText="1"/>
    </xf>
    <xf numFmtId="0" fontId="28" fillId="74" borderId="17" applyAlignment="1" pivotButton="0" quotePrefix="0" xfId="0">
      <alignment vertical="center" wrapText="1"/>
    </xf>
    <xf numFmtId="0" fontId="0" fillId="74" borderId="17" applyAlignment="1" pivotButton="0" quotePrefix="0" xfId="0">
      <alignment vertical="center" wrapText="1"/>
    </xf>
    <xf numFmtId="0" fontId="0" fillId="47" borderId="15" applyAlignment="1" pivotButton="0" quotePrefix="0" xfId="0">
      <alignment vertical="center" wrapText="1"/>
    </xf>
    <xf numFmtId="0" fontId="27" fillId="2" borderId="24" applyAlignment="1" pivotButton="0" quotePrefix="0" xfId="0">
      <alignment horizontal="center" vertical="center" wrapText="1"/>
    </xf>
    <xf numFmtId="0" fontId="28" fillId="73" borderId="24" applyAlignment="1" pivotButton="0" quotePrefix="0" xfId="0">
      <alignment vertical="center" wrapText="1"/>
    </xf>
    <xf numFmtId="0" fontId="0" fillId="47" borderId="23" applyAlignment="1" pivotButton="0" quotePrefix="0" xfId="0">
      <alignment vertical="center" wrapText="1"/>
    </xf>
    <xf numFmtId="0" fontId="0" fillId="47" borderId="24" applyAlignment="1" pivotButton="0" quotePrefix="0" xfId="0">
      <alignment horizontal="center" vertical="center" wrapText="1"/>
    </xf>
    <xf numFmtId="0" fontId="0" fillId="74" borderId="25" applyAlignment="1" pivotButton="0" quotePrefix="0" xfId="0">
      <alignment vertical="center" wrapText="1"/>
    </xf>
    <xf numFmtId="0" fontId="0" fillId="74" borderId="26" applyAlignment="1" pivotButton="0" quotePrefix="0" xfId="0">
      <alignment vertical="center" wrapText="1"/>
    </xf>
    <xf numFmtId="0" fontId="28" fillId="74" borderId="26" applyAlignment="1" pivotButton="0" quotePrefix="0" xfId="0">
      <alignment vertical="center" wrapText="1"/>
    </xf>
    <xf numFmtId="0" fontId="28" fillId="74" borderId="26" applyAlignment="1" pivotButton="0" quotePrefix="0" xfId="0">
      <alignment horizontal="center" vertical="center" wrapText="1"/>
    </xf>
    <xf numFmtId="0" fontId="28" fillId="74" borderId="27" applyAlignment="1" pivotButton="0" quotePrefix="0" xfId="0">
      <alignment horizontal="center" vertical="center" wrapText="1"/>
    </xf>
    <xf numFmtId="0" fontId="0" fillId="47" borderId="25" applyAlignment="1" pivotButton="0" quotePrefix="0" xfId="0">
      <alignment horizontal="center" vertical="center" wrapText="1"/>
    </xf>
    <xf numFmtId="0" fontId="0" fillId="47" borderId="26" applyAlignment="1" pivotButton="0" quotePrefix="0" xfId="0">
      <alignment horizontal="center" vertical="center" wrapText="1"/>
    </xf>
    <xf numFmtId="0" fontId="0" fillId="47" borderId="27" applyAlignment="1" pivotButton="0" quotePrefix="0" xfId="0">
      <alignment horizontal="center" vertical="center" wrapText="1"/>
    </xf>
    <xf numFmtId="0" fontId="0" fillId="47" borderId="23" applyAlignment="1" pivotButton="0" quotePrefix="0" xfId="0">
      <alignment horizontal="center" vertical="center" wrapText="1"/>
    </xf>
    <xf numFmtId="0" fontId="2" fillId="15" borderId="0" applyAlignment="1" pivotButton="0" quotePrefix="0" xfId="2">
      <alignment horizontal="left" vertical="center"/>
    </xf>
    <xf numFmtId="0" fontId="0" fillId="14" borderId="0" applyAlignment="1" pivotButton="0" quotePrefix="0" xfId="0">
      <alignment horizontal="left" vertical="top"/>
    </xf>
    <xf numFmtId="0" fontId="2" fillId="15" borderId="0" applyAlignment="1" pivotButton="0" quotePrefix="0" xfId="2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53" borderId="0" applyAlignment="1" pivotButton="0" quotePrefix="0" xfId="0">
      <alignment horizontal="left"/>
    </xf>
    <xf numFmtId="0" fontId="0" fillId="17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top"/>
    </xf>
    <xf numFmtId="0" fontId="0" fillId="29" borderId="13" applyAlignment="1" pivotButton="0" quotePrefix="0" xfId="0">
      <alignment horizontal="center" vertical="center" wrapText="1"/>
    </xf>
    <xf numFmtId="0" fontId="0" fillId="29" borderId="16" applyAlignment="1" pivotButton="0" quotePrefix="0" xfId="0">
      <alignment horizontal="center" vertical="center" wrapText="1"/>
    </xf>
    <xf numFmtId="0" fontId="0" fillId="29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7" fillId="23" borderId="14" applyAlignment="1" pivotButton="0" quotePrefix="0" xfId="0">
      <alignment horizontal="center" vertical="center" wrapText="1"/>
    </xf>
    <xf numFmtId="0" fontId="17" fillId="23" borderId="0" applyAlignment="1" pivotButton="0" quotePrefix="0" xfId="0">
      <alignment horizontal="center" vertical="center" wrapText="1"/>
    </xf>
    <xf numFmtId="0" fontId="0" fillId="14" borderId="15" applyAlignment="1" pivotButton="0" quotePrefix="0" xfId="0">
      <alignment horizontal="center" vertical="top" wrapText="1"/>
    </xf>
    <xf numFmtId="0" fontId="7" fillId="39" borderId="9" applyAlignment="1" pivotButton="0" quotePrefix="0" xfId="1">
      <alignment horizontal="center" vertical="top" wrapText="1"/>
    </xf>
    <xf numFmtId="0" fontId="7" fillId="39" borderId="2" applyAlignment="1" pivotButton="0" quotePrefix="0" xfId="1">
      <alignment horizontal="center" vertical="top" wrapText="1"/>
    </xf>
    <xf numFmtId="0" fontId="7" fillId="43" borderId="1" applyAlignment="1" pivotButton="0" quotePrefix="0" xfId="1">
      <alignment horizontal="center" vertical="top" wrapText="1"/>
    </xf>
    <xf numFmtId="0" fontId="7" fillId="42" borderId="1" applyAlignment="1" pivotButton="0" quotePrefix="0" xfId="1">
      <alignment horizontal="center" vertical="top" wrapText="1"/>
    </xf>
    <xf numFmtId="0" fontId="7" fillId="41" borderId="1" applyAlignment="1" pivotButton="0" quotePrefix="0" xfId="1">
      <alignment horizontal="center" vertical="top" wrapText="1"/>
    </xf>
    <xf numFmtId="0" fontId="7" fillId="69" borderId="1" applyAlignment="1" pivotButton="0" quotePrefix="0" xfId="1">
      <alignment horizontal="center" vertical="top" wrapText="1"/>
    </xf>
    <xf numFmtId="0" fontId="7" fillId="40" borderId="1" applyAlignment="1" pivotButton="0" quotePrefix="0" xfId="1">
      <alignment horizontal="center" vertical="top" wrapText="1"/>
    </xf>
    <xf numFmtId="0" fontId="19" fillId="0" borderId="13" applyAlignment="1" pivotButton="0" quotePrefix="0" xfId="1">
      <alignment horizontal="center" vertical="center" wrapText="1"/>
    </xf>
    <xf numFmtId="0" fontId="19" fillId="0" borderId="16" applyAlignment="1" pivotButton="0" quotePrefix="0" xfId="1">
      <alignment horizontal="center" vertical="center" wrapText="1"/>
    </xf>
    <xf numFmtId="0" fontId="19" fillId="0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9" borderId="1" applyAlignment="1" pivotButton="0" quotePrefix="0" xfId="1">
      <alignment horizontal="center" vertical="top" wrapText="1"/>
    </xf>
    <xf numFmtId="0" fontId="7" fillId="45" borderId="1" applyAlignment="1" pivotButton="0" quotePrefix="0" xfId="1">
      <alignment horizontal="center" vertical="top" wrapText="1"/>
    </xf>
    <xf numFmtId="0" fontId="7" fillId="30" borderId="1" applyAlignment="1" pivotButton="0" quotePrefix="0" xfId="1">
      <alignment horizontal="center" vertical="top" wrapText="1"/>
    </xf>
    <xf numFmtId="0" fontId="0" fillId="18" borderId="0" applyAlignment="1" pivotButton="0" quotePrefix="0" xfId="0">
      <alignment horizontal="left" vertical="top"/>
    </xf>
    <xf numFmtId="0" fontId="2" fillId="2" borderId="0" applyAlignment="1" pivotButton="0" quotePrefix="0" xfId="2">
      <alignment horizontal="left" vertical="center"/>
    </xf>
    <xf numFmtId="0" fontId="2" fillId="2" borderId="0" applyAlignment="1" pivotButton="0" quotePrefix="0" xfId="2">
      <alignment horizontal="center" vertical="center"/>
    </xf>
    <xf numFmtId="0" fontId="0" fillId="10" borderId="0" applyAlignment="1" pivotButton="0" quotePrefix="0" xfId="0">
      <alignment vertical="top"/>
    </xf>
    <xf numFmtId="0" fontId="0" fillId="8" borderId="0" applyAlignment="1" pivotButton="0" quotePrefix="0" xfId="0">
      <alignment horizontal="left" vertical="top"/>
    </xf>
    <xf numFmtId="0" fontId="27" fillId="2" borderId="15" applyAlignment="1" pivotButton="0" quotePrefix="0" xfId="0">
      <alignment horizontal="center" vertical="center" wrapText="1"/>
    </xf>
    <xf numFmtId="0" fontId="28" fillId="73" borderId="15" applyAlignment="1" pivotButton="0" quotePrefix="0" xfId="0">
      <alignment horizontal="center" vertical="center" wrapText="1"/>
    </xf>
    <xf numFmtId="0" fontId="29" fillId="73" borderId="15" applyAlignment="1" pivotButton="0" quotePrefix="0" xfId="0">
      <alignment horizontal="center" vertical="center" wrapText="1"/>
    </xf>
    <xf numFmtId="0" fontId="30" fillId="73" borderId="15" applyAlignment="1" pivotButton="0" quotePrefix="0" xfId="0">
      <alignment horizontal="center" vertical="center" wrapText="1"/>
    </xf>
    <xf numFmtId="0" fontId="28" fillId="74" borderId="15" applyAlignment="1" pivotButton="0" quotePrefix="0" xfId="0">
      <alignment horizontal="center" vertical="center" wrapText="1"/>
    </xf>
    <xf numFmtId="0" fontId="0" fillId="74" borderId="15" applyAlignment="1" pivotButton="0" quotePrefix="0" xfId="0">
      <alignment horizontal="center" vertical="center" wrapText="1"/>
    </xf>
    <xf numFmtId="0" fontId="0" fillId="73" borderId="15" applyAlignment="1" pivotButton="0" quotePrefix="0" xfId="0">
      <alignment horizontal="center" vertical="center" wrapText="1"/>
    </xf>
    <xf numFmtId="0" fontId="7" fillId="39" borderId="1" applyAlignment="1" pivotButton="0" quotePrefix="0" xfId="1">
      <alignment horizontal="center" vertical="top" wrapText="1"/>
    </xf>
    <xf numFmtId="0" fontId="2" fillId="0" borderId="13" applyAlignment="1" pivotButton="0" quotePrefix="0" xfId="2">
      <alignment horizontal="center" vertical="center" wrapText="1"/>
    </xf>
    <xf numFmtId="0" fontId="2" fillId="0" borderId="3" applyAlignment="1" pivotButton="0" quotePrefix="0" xfId="2">
      <alignment horizontal="center" vertical="center" wrapText="1"/>
    </xf>
    <xf numFmtId="0" fontId="19" fillId="0" borderId="1" applyAlignment="1" pivotButton="0" quotePrefix="0" xfId="1">
      <alignment horizontal="center" vertical="center"/>
    </xf>
    <xf numFmtId="0" fontId="19" fillId="0" borderId="1" applyAlignment="1" pivotButton="0" quotePrefix="0" xfId="1">
      <alignment horizontal="center" vertical="center" wrapText="1"/>
    </xf>
    <xf numFmtId="0" fontId="19" fillId="0" borderId="1" applyAlignment="1" pivotButton="0" quotePrefix="0" xfId="1">
      <alignment horizontal="center" wrapText="1"/>
    </xf>
    <xf numFmtId="0" fontId="2" fillId="0" borderId="1" applyAlignment="1" pivotButton="0" quotePrefix="0" xfId="2">
      <alignment horizontal="center" vertical="center"/>
    </xf>
    <xf numFmtId="0" fontId="0" fillId="12" borderId="0" applyAlignment="1" pivotButton="0" quotePrefix="0" xfId="0">
      <alignment horizontal="left"/>
    </xf>
    <xf numFmtId="0" fontId="0" fillId="60" borderId="0" applyAlignment="1" pivotButton="0" quotePrefix="0" xfId="0">
      <alignment horizontal="left" vertical="top"/>
    </xf>
    <xf numFmtId="0" fontId="0" fillId="62" borderId="0" applyAlignment="1" pivotButton="0" quotePrefix="0" xfId="0">
      <alignment horizontal="left" vertical="top"/>
    </xf>
    <xf numFmtId="0" fontId="0" fillId="6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/>
    </xf>
    <xf numFmtId="0" fontId="18" fillId="4" borderId="14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28" fillId="73" borderId="17" applyAlignment="1" pivotButton="0" quotePrefix="0" xfId="0">
      <alignment horizontal="center" vertical="center" wrapText="1"/>
    </xf>
    <xf numFmtId="0" fontId="28" fillId="73" borderId="19" applyAlignment="1" pivotButton="0" quotePrefix="0" xfId="0">
      <alignment horizontal="center" vertical="center" wrapText="1"/>
    </xf>
    <xf numFmtId="0" fontId="28" fillId="73" borderId="18" applyAlignment="1" pivotButton="0" quotePrefix="0" xfId="0">
      <alignment horizontal="center" vertical="center" wrapText="1"/>
    </xf>
    <xf numFmtId="0" fontId="29" fillId="73" borderId="17" applyAlignment="1" pivotButton="0" quotePrefix="0" xfId="0">
      <alignment horizontal="center" vertical="center" wrapText="1"/>
    </xf>
    <xf numFmtId="0" fontId="29" fillId="73" borderId="19" applyAlignment="1" pivotButton="0" quotePrefix="0" xfId="0">
      <alignment horizontal="center" vertical="center" wrapText="1"/>
    </xf>
    <xf numFmtId="0" fontId="29" fillId="73" borderId="18" applyAlignment="1" pivotButton="0" quotePrefix="0" xfId="0">
      <alignment horizontal="center" vertical="center" wrapText="1"/>
    </xf>
    <xf numFmtId="0" fontId="7" fillId="21" borderId="15" applyAlignment="1" pivotButton="0" quotePrefix="0" xfId="0">
      <alignment horizontal="center" vertical="center" wrapText="1"/>
    </xf>
    <xf numFmtId="0" fontId="21" fillId="32" borderId="9" applyAlignment="1" pivotButton="0" quotePrefix="0" xfId="0">
      <alignment horizontal="center" vertical="center" wrapText="1"/>
    </xf>
    <xf numFmtId="0" fontId="21" fillId="32" borderId="2" applyAlignment="1" pivotButton="0" quotePrefix="0" xfId="0">
      <alignment horizontal="center" vertical="center" wrapText="1"/>
    </xf>
    <xf numFmtId="0" fontId="21" fillId="34" borderId="9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 wrapText="1"/>
    </xf>
    <xf numFmtId="0" fontId="21" fillId="35" borderId="9" applyAlignment="1" pivotButton="0" quotePrefix="0" xfId="0">
      <alignment horizontal="center" vertical="center" wrapText="1"/>
    </xf>
    <xf numFmtId="0" fontId="21" fillId="35" borderId="2" applyAlignment="1" pivotButton="0" quotePrefix="0" xfId="0">
      <alignment horizontal="center" vertical="center" wrapText="1"/>
    </xf>
    <xf numFmtId="0" fontId="21" fillId="31" borderId="11" applyAlignment="1" pivotButton="0" quotePrefix="0" xfId="0">
      <alignment horizontal="center" vertical="center"/>
    </xf>
    <xf numFmtId="0" fontId="21" fillId="31" borderId="12" applyAlignment="1" pivotButton="0" quotePrefix="0" xfId="0">
      <alignment horizontal="center" vertical="center"/>
    </xf>
    <xf numFmtId="0" fontId="21" fillId="32" borderId="13" applyAlignment="1" pivotButton="0" quotePrefix="0" xfId="0">
      <alignment horizontal="center" vertical="center" wrapText="1"/>
    </xf>
    <xf numFmtId="0" fontId="21" fillId="32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1" fillId="38" borderId="13" applyAlignment="1" pivotButton="0" quotePrefix="0" xfId="0">
      <alignment horizontal="center" vertical="center"/>
    </xf>
    <xf numFmtId="0" fontId="21" fillId="38" borderId="3" applyAlignment="1" pivotButton="0" quotePrefix="0" xfId="0">
      <alignment horizontal="center" vertical="center"/>
    </xf>
    <xf numFmtId="0" fontId="21" fillId="33" borderId="13" applyAlignment="1" pivotButton="0" quotePrefix="0" xfId="0">
      <alignment horizontal="center" vertical="center" wrapText="1"/>
    </xf>
    <xf numFmtId="0" fontId="21" fillId="33" borderId="3" applyAlignment="1" pivotButton="0" quotePrefix="0" xfId="0">
      <alignment horizontal="center" vertical="center" wrapText="1"/>
    </xf>
    <xf numFmtId="0" fontId="21" fillId="35" borderId="9" applyAlignment="1" pivotButton="0" quotePrefix="0" xfId="0">
      <alignment horizontal="center" vertical="center"/>
    </xf>
    <xf numFmtId="0" fontId="21" fillId="35" borderId="2" applyAlignment="1" pivotButton="0" quotePrefix="0" xfId="0">
      <alignment horizontal="center" vertical="center"/>
    </xf>
    <xf numFmtId="0" fontId="21" fillId="36" borderId="13" applyAlignment="1" pivotButton="0" quotePrefix="0" xfId="0">
      <alignment horizontal="center" vertical="center"/>
    </xf>
    <xf numFmtId="0" fontId="21" fillId="36" borderId="3" applyAlignment="1" pivotButton="0" quotePrefix="0" xfId="0">
      <alignment horizontal="center" vertical="center"/>
    </xf>
    <xf numFmtId="0" fontId="21" fillId="37" borderId="13" applyAlignment="1" pivotButton="0" quotePrefix="0" xfId="0">
      <alignment horizontal="center" vertical="center"/>
    </xf>
    <xf numFmtId="0" fontId="21" fillId="37" borderId="3" applyAlignment="1" pivotButton="0" quotePrefix="0" xfId="0">
      <alignment horizontal="center" vertical="center"/>
    </xf>
    <xf numFmtId="0" fontId="0" fillId="64" borderId="0" applyAlignment="1" pivotButton="0" quotePrefix="0" xfId="0">
      <alignment horizontal="left" vertical="top"/>
    </xf>
    <xf numFmtId="0" fontId="2" fillId="6" borderId="1" applyAlignment="1" pivotButton="0" quotePrefix="0" xfId="2">
      <alignment horizontal="center" vertical="center"/>
    </xf>
    <xf numFmtId="0" fontId="18" fillId="4" borderId="7" applyAlignment="1" pivotButton="0" quotePrefix="0" xfId="0">
      <alignment horizontal="center" vertical="center" wrapText="1"/>
    </xf>
    <xf numFmtId="0" fontId="18" fillId="4" borderId="6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top"/>
    </xf>
    <xf numFmtId="0" fontId="0" fillId="3" borderId="2" applyAlignment="1" pivotButton="0" quotePrefix="0" xfId="0">
      <alignment horizontal="left" vertical="top"/>
    </xf>
    <xf numFmtId="0" fontId="0" fillId="3" borderId="9" applyAlignment="1" pivotButton="0" quotePrefix="0" xfId="0">
      <alignment horizontal="center" vertical="top"/>
    </xf>
    <xf numFmtId="0" fontId="0" fillId="3" borderId="8" applyAlignment="1" pivotButton="0" quotePrefix="0" xfId="0">
      <alignment horizontal="center" vertical="top"/>
    </xf>
    <xf numFmtId="0" fontId="0" fillId="3" borderId="2" applyAlignment="1" pivotButton="0" quotePrefix="0" xfId="0">
      <alignment horizontal="center" vertical="top"/>
    </xf>
    <xf numFmtId="0" fontId="28" fillId="74" borderId="17" applyAlignment="1" pivotButton="0" quotePrefix="0" xfId="0">
      <alignment horizontal="center" vertical="center" wrapText="1"/>
    </xf>
    <xf numFmtId="0" fontId="28" fillId="74" borderId="18" applyAlignment="1" pivotButton="0" quotePrefix="0" xfId="0">
      <alignment horizontal="center" vertical="center" wrapText="1"/>
    </xf>
    <xf numFmtId="0" fontId="0" fillId="73" borderId="17" applyAlignment="1" pivotButton="0" quotePrefix="0" xfId="0">
      <alignment horizontal="center" vertical="center" wrapText="1"/>
    </xf>
    <xf numFmtId="0" fontId="0" fillId="73" borderId="18" applyAlignment="1" pivotButton="0" quotePrefix="0" xfId="0">
      <alignment horizontal="center" vertical="center" wrapText="1"/>
    </xf>
    <xf numFmtId="0" fontId="0" fillId="65" borderId="0" applyAlignment="1" pivotButton="0" quotePrefix="0" xfId="0">
      <alignment horizontal="left" vertical="top"/>
    </xf>
    <xf numFmtId="0" fontId="0" fillId="73" borderId="19" applyAlignment="1" pivotButton="0" quotePrefix="0" xfId="0">
      <alignment horizontal="center" vertical="center" wrapText="1"/>
    </xf>
    <xf numFmtId="0" fontId="0" fillId="47" borderId="17" applyAlignment="1" pivotButton="0" quotePrefix="0" xfId="0">
      <alignment horizontal="center" vertical="center" wrapText="1"/>
    </xf>
    <xf numFmtId="0" fontId="0" fillId="47" borderId="18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top"/>
    </xf>
    <xf numFmtId="0" fontId="0" fillId="26" borderId="0" applyAlignment="1" pivotButton="0" quotePrefix="0" xfId="0">
      <alignment horizontal="left" vertical="top"/>
    </xf>
    <xf numFmtId="0" fontId="0" fillId="17" borderId="0" applyAlignment="1" pivotButton="0" quotePrefix="0" xfId="0">
      <alignment horizontal="left" vertical="top"/>
    </xf>
    <xf numFmtId="0" fontId="0" fillId="10" borderId="0" applyAlignment="1" pivotButton="0" quotePrefix="0" xfId="0">
      <alignment horizontal="left" vertical="top"/>
    </xf>
    <xf numFmtId="0" fontId="0" fillId="16" borderId="0" applyAlignment="1" pivotButton="0" quotePrefix="0" xfId="0">
      <alignment horizontal="left" vertical="top"/>
    </xf>
    <xf numFmtId="0" fontId="0" fillId="14" borderId="5" applyAlignment="1" pivotButton="0" quotePrefix="0" xfId="0">
      <alignment horizontal="center" vertical="center" wrapText="1"/>
    </xf>
    <xf numFmtId="0" fontId="0" fillId="14" borderId="4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left" vertical="top"/>
    </xf>
    <xf numFmtId="0" fontId="0" fillId="10" borderId="0" applyAlignment="1" pivotButton="0" quotePrefix="0" xfId="0">
      <alignment horizontal="left"/>
    </xf>
    <xf numFmtId="0" fontId="0" fillId="68" borderId="0" applyAlignment="1" pivotButton="0" quotePrefix="0" xfId="0">
      <alignment horizontal="left" vertical="top"/>
    </xf>
    <xf numFmtId="0" fontId="2" fillId="2" borderId="0" applyAlignment="1" pivotButton="0" quotePrefix="0" xfId="2">
      <alignment horizontal="center" vertical="center"/>
    </xf>
    <xf numFmtId="0" fontId="0" fillId="74" borderId="17" applyAlignment="1" pivotButton="0" quotePrefix="0" xfId="0">
      <alignment horizontal="center" vertical="center" wrapText="1"/>
    </xf>
    <xf numFmtId="0" fontId="0" fillId="74" borderId="18" applyAlignment="1" pivotButton="0" quotePrefix="0" xfId="0">
      <alignment horizontal="center" vertical="center" wrapText="1"/>
    </xf>
    <xf numFmtId="0" fontId="27" fillId="2" borderId="21" applyAlignment="1" pivotButton="0" quotePrefix="0" xfId="0">
      <alignment horizontal="center" vertical="center" wrapText="1"/>
    </xf>
    <xf numFmtId="0" fontId="27" fillId="2" borderId="22" applyAlignment="1" pivotButton="0" quotePrefix="0" xfId="0">
      <alignment horizontal="center" vertical="center" wrapText="1"/>
    </xf>
    <xf numFmtId="0" fontId="27" fillId="2" borderId="20" applyAlignment="1" pivotButton="0" quotePrefix="0" xfId="0">
      <alignment horizontal="center" vertical="center" wrapText="1"/>
    </xf>
    <xf numFmtId="0" fontId="27" fillId="2" borderId="23" applyAlignment="1" pivotButton="0" quotePrefix="0" xfId="0">
      <alignment horizontal="center" vertical="center" wrapText="1"/>
    </xf>
    <xf numFmtId="0" fontId="0" fillId="73" borderId="23" applyAlignment="1" pivotButton="0" quotePrefix="0" xfId="0">
      <alignment horizontal="center" vertical="center" wrapText="1"/>
    </xf>
    <xf numFmtId="0" fontId="2" fillId="2" borderId="0" applyAlignment="1" pivotButton="0" quotePrefix="0" xfId="2">
      <alignment horizontal="left" vertical="center"/>
    </xf>
    <xf numFmtId="0" fontId="0" fillId="14" borderId="13" applyAlignment="1" pivotButton="0" quotePrefix="0" xfId="0">
      <alignment horizontal="center" vertical="center" wrapText="1"/>
    </xf>
    <xf numFmtId="0" fontId="0" fillId="14" borderId="3" applyAlignment="1" pivotButton="0" quotePrefix="0" xfId="0">
      <alignment horizontal="center" vertical="center" wrapText="1"/>
    </xf>
    <xf numFmtId="0" fontId="0" fillId="47" borderId="15" applyAlignment="1" pivotButton="0" quotePrefix="0" xfId="0">
      <alignment horizontal="center" vertical="center" wrapText="1"/>
    </xf>
    <xf numFmtId="0" fontId="0" fillId="73" borderId="28" applyAlignment="1" pivotButton="0" quotePrefix="0" xfId="0">
      <alignment horizontal="center" vertical="center" wrapText="1"/>
    </xf>
    <xf numFmtId="0" fontId="0" fillId="73" borderId="29" applyAlignment="1" pivotButton="0" quotePrefix="0" xfId="0">
      <alignment horizontal="center" vertical="center" wrapText="1"/>
    </xf>
    <xf numFmtId="0" fontId="0" fillId="73" borderId="30" applyAlignment="1" pivotButton="0" quotePrefix="0" xfId="0">
      <alignment horizontal="center" vertical="center" wrapText="1"/>
    </xf>
    <xf numFmtId="0" fontId="19" fillId="0" borderId="1" pivotButton="0" quotePrefix="0" xfId="1"/>
    <xf numFmtId="0" fontId="19" fillId="70" borderId="1" pivotButton="0" quotePrefix="0" xfId="1"/>
    <xf numFmtId="0" fontId="19" fillId="46" borderId="1" pivotButton="0" quotePrefix="0" xfId="1"/>
    <xf numFmtId="0" fontId="0" fillId="9" borderId="0" pivotButton="0" quotePrefix="0" xfId="0"/>
    <xf numFmtId="0" fontId="0" fillId="0" borderId="0" pivotButton="0" quotePrefix="0" xfId="0"/>
    <xf numFmtId="0" fontId="19" fillId="29" borderId="1" pivotButton="0" quotePrefix="0" xfId="1"/>
    <xf numFmtId="0" fontId="19" fillId="0" borderId="8" pivotButton="0" quotePrefix="0" xfId="1"/>
    <xf numFmtId="0" fontId="19" fillId="0" borderId="2" pivotButton="0" quotePrefix="0" xfId="1"/>
    <xf numFmtId="0" fontId="19" fillId="0" borderId="3" pivotButton="0" quotePrefix="0" xfId="1"/>
    <xf numFmtId="0" fontId="19" fillId="0" borderId="0" pivotButton="0" quotePrefix="0" xfId="1"/>
    <xf numFmtId="0" fontId="0" fillId="0" borderId="34" pivotButton="0" quotePrefix="0" xfId="0"/>
    <xf numFmtId="0" fontId="0" fillId="0" borderId="31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0" borderId="1" applyAlignment="1" pivotButton="0" quotePrefix="0" xfId="2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5" borderId="1" applyAlignment="1" pivotButton="0" quotePrefix="0" xfId="0">
      <alignment horizontal="center" vertical="center" wrapText="1"/>
    </xf>
    <xf numFmtId="0" fontId="21" fillId="36" borderId="1" applyAlignment="1" pivotButton="0" quotePrefix="0" xfId="0">
      <alignment horizontal="center" vertical="center"/>
    </xf>
    <xf numFmtId="0" fontId="21" fillId="37" borderId="1" applyAlignment="1" pivotButton="0" quotePrefix="0" xfId="0">
      <alignment horizontal="center" vertical="center"/>
    </xf>
    <xf numFmtId="0" fontId="21" fillId="38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0" fillId="1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0" pivotButton="0" quotePrefix="0" xfId="0"/>
    <xf numFmtId="0" fontId="0" fillId="0" borderId="45" pivotButton="0" quotePrefix="0" xfId="0"/>
    <xf numFmtId="0" fontId="0" fillId="0" borderId="44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14" borderId="1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Hipervínculo" xfId="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comments/comment1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2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3.xml><?xml version="1.0" encoding="utf-8"?>
<comments xmlns="http://schemas.openxmlformats.org/spreadsheetml/2006/main">
  <authors>
    <author>Miguel Angel Alvarez </author>
  </authors>
  <commentList>
    <comment ref="A5" authorId="0" shapeId="0">
      <text>
        <t xml:space="preserve">Miguel Angel Alvarez :
Corresponde al nombre del atributo del objeto de dominio
</t>
      </text>
    </comment>
    <comment ref="C5" authorId="0" shapeId="0">
      <text>
        <t xml:space="preserve">Miguel Angel Alvarez :
Corresponde al atributo unico que identifica al obejto de dominio. Solo puede ser uno
</t>
      </text>
    </comment>
    <comment ref="D5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5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5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5" authorId="0" shapeId="0">
      <text>
        <t>Miguel Angel Alvarez :
Indica la cantidad de decmales maxima que puede tener un atributo de tipo de dato de numero decimal</t>
      </text>
    </comment>
    <comment ref="I5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5" authorId="0" shapeId="0">
      <text>
        <t>Miguel Angel Alvarez :
Indica el rango inicial a partir es valido el valor de un atributo. Solo aplica  para tipos de datos numericos</t>
      </text>
    </comment>
    <comment ref="K5" authorId="0" shapeId="0">
      <text>
        <t xml:space="preserve">Miguel Angel Alvarez :
Indica el rango final a partir es valido el valor de un atributo. Solo aplica  para tipos de datos numericos
</t>
      </text>
    </comment>
    <comment ref="L5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5" authorId="0" shapeId="0">
      <text>
        <t>Miguel Angel Alvarez :
Indica cuando el valor del atributo depende de reglas especiales o su valor esta en funcion del calculo de otros atributos</t>
      </text>
    </comment>
    <comment ref="N5" authorId="0" shapeId="0">
      <text>
        <t>Miguel Angel Alvarez :
Indica si el atributo contiene un valor que es calculado automataticamente en tiempo real</t>
      </text>
    </comment>
    <comment ref="O5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5" authorId="0" shapeId="0">
      <text>
        <t xml:space="preserve">Miguel Angel Alvarez :
En caso de que aplique ajuste, se debe indicar con que caracter se ajusta el dato
</t>
      </text>
    </comment>
    <comment ref="Q5" authorId="0" shapeId="0">
      <text>
        <t>Miguel Angel Alvarez :
Aplica solo para datos de tipo texto (caracter, texto, alfanumerico) e indica si se deben quitar los espacios en blanco al inicio de la cadena.</t>
      </text>
    </comment>
    <comment ref="R5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5" authorId="0" shapeId="0">
      <text>
        <t>Miguel Angel Alvarez :
Corresponde a un dato que debe tener un manejo o tratamiento especifico para manejar su integridad</t>
      </text>
    </comment>
    <comment ref="T5" authorId="0" shapeId="0">
      <text>
        <t>Miguel Angel Alvarez :
Indica el valor que se debe asignar al atributo en caso de que no sea ingresado de forma directa</t>
      </text>
    </comment>
    <comment ref="U5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4.xml><?xml version="1.0" encoding="utf-8"?>
<comments xmlns="http://schemas.openxmlformats.org/spreadsheetml/2006/main">
  <authors>
    <author>Miguel Angel Alvarez </author>
  </authors>
  <commentList>
    <comment ref="A5" authorId="0" shapeId="0">
      <text>
        <t xml:space="preserve">Miguel Angel Alvarez :
Corresponde al nombre del atributo del objeto de dominio
</t>
      </text>
    </comment>
    <comment ref="C5" authorId="0" shapeId="0">
      <text>
        <t xml:space="preserve">Miguel Angel Alvarez :
Corresponde al atributo unico que identifica al obejto de dominio. Solo puede ser uno
</t>
      </text>
    </comment>
    <comment ref="D5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5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5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5" authorId="0" shapeId="0">
      <text>
        <t>Miguel Angel Alvarez :
Indica la cantidad de decmales maxima que puede tener un atributo de tipo de dato de numero decimal</t>
      </text>
    </comment>
    <comment ref="I5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5" authorId="0" shapeId="0">
      <text>
        <t>Miguel Angel Alvarez :
Indica el rango inicial a partir es valido el valor de un atributo. Solo aplica  para tipos de datos numericos</t>
      </text>
    </comment>
    <comment ref="K5" authorId="0" shapeId="0">
      <text>
        <t xml:space="preserve">Miguel Angel Alvarez :
Indica el rango final a partir es valido el valor de un atributo. Solo aplica  para tipos de datos numericos
</t>
      </text>
    </comment>
    <comment ref="L5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5" authorId="0" shapeId="0">
      <text>
        <t>Miguel Angel Alvarez :
Indica cuando el valor del atributo depende de reglas especiales o su valor esta en funcion del calculo de otros atributos</t>
      </text>
    </comment>
    <comment ref="N5" authorId="0" shapeId="0">
      <text>
        <t>Miguel Angel Alvarez :
Indica si el atributo contiene un valor que es calculado automataticamente en tiempo real</t>
      </text>
    </comment>
    <comment ref="O5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5" authorId="0" shapeId="0">
      <text>
        <t xml:space="preserve">Miguel Angel Alvarez :
En caso de que aplique ajuste, se debe indicar con que caracter se ajusta el dato
</t>
      </text>
    </comment>
    <comment ref="Q5" authorId="0" shapeId="0">
      <text>
        <t>Miguel Angel Alvarez :
Aplica solo para datos de tipo texto (caracter, texto, alfanumerico) e indica si se deben quitar los espacios en blanco al inicio de la cadena.</t>
      </text>
    </comment>
    <comment ref="R5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5" authorId="0" shapeId="0">
      <text>
        <t>Miguel Angel Alvarez :
Corresponde a un dato que debe tener un manejo o tratamiento especifico para manejar su integridad</t>
      </text>
    </comment>
    <comment ref="T5" authorId="0" shapeId="0">
      <text>
        <t>Miguel Angel Alvarez :
Indica el valor que se debe asignar al atributo en caso de que no sea ingresado de forma directa</t>
      </text>
    </comment>
    <comment ref="U5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5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6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7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8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9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0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1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2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3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4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5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comments/comment16.xml><?xml version="1.0" encoding="utf-8"?>
<comments xmlns="http://schemas.openxmlformats.org/spreadsheetml/2006/main">
  <authors>
    <author>Miguel Angel Alvarez </author>
  </authors>
  <commentList>
    <comment ref="A4" authorId="0" shapeId="0">
      <text>
        <t xml:space="preserve">Miguel Angel Alvarez :
Corresponde al nombre del atributo del objeto de dominio
</t>
      </text>
    </comment>
    <comment ref="C4" authorId="0" shapeId="0">
      <text>
        <t xml:space="preserve">Miguel Angel Alvarez :
Corresponde al atributo unico que identifica al obejto de dominio. Solo puede ser uno
</t>
      </text>
    </comment>
    <comment ref="D4" authorId="0" shapeId="0">
      <text>
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</text>
    </comment>
    <comment ref="F4" authorId="0" shapeId="0">
      <text>
        <t xml:space="preserve">Miguel Angel Alvarez :
:
Indica la longitud minima de un atributo si aplica. Solo permite numeros mayores o iguales a 0. Solo aplica para datos de tipo texto (caracter, texto o alfanumerico)
</t>
      </text>
    </comment>
    <comment ref="G4" authorId="0" shapeId="0">
      <text>
        <t xml:space="preserve">Miguel Angel Alvarez :
Indica la longitud maxima de un atributo si aplica. Solo permite numeros mayores o iguales a 0. Solo aplica para datos de tipo texto (caracter, texto o alfanumerico)
</t>
      </text>
    </comment>
    <comment ref="H4" authorId="0" shapeId="0">
      <text>
        <t>Miguel Angel Alvarez :
Indica la cantidad de decmales maxima que puede tener un atributo de tipo de dato de numero decimal</t>
      </text>
    </comment>
    <comment ref="I4" authorId="0" shapeId="0">
      <text>
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</text>
    </comment>
    <comment ref="J4" authorId="0" shapeId="0">
      <text>
        <t>Miguel Angel Alvarez :
Indica el rango inicial a partir es valido el valor de un atributo. Solo aplica  para tipos de datos numericos</t>
      </text>
    </comment>
    <comment ref="K4" authorId="0" shapeId="0">
      <text>
        <t xml:space="preserve">Miguel Angel Alvarez :
Indica el rango final a partir es valido el valor de un atributo. Solo aplica  para tipos de datos numericos
</t>
      </text>
    </comment>
    <comment ref="L4" authorId="0" shapeId="0">
      <text>
        <t>Miguel Angel Alvarez :
Aplica para datos de tipo texto (caracter, texto, alfanumerico)
e indica el formato especifico que debe tener el valor del atributo para que sea considerado valido</t>
      </text>
    </comment>
    <comment ref="M4" authorId="0" shapeId="0">
      <text>
        <t>Miguel Angel Alvarez :
Indica cuando el valor del atributo depende de reglas especiales o su valor esta en funcion del calculo de otros atributos</t>
      </text>
    </comment>
    <comment ref="N4" authorId="0" shapeId="0">
      <text>
        <t>Miguel Angel Alvarez :
Indica si el atributo contiene un valor que es calculado automataticamente en tiempo real</t>
      </text>
    </comment>
    <comment ref="O4" authorId="0" shapeId="0">
      <text>
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</text>
    </comment>
    <comment ref="P4" authorId="0" shapeId="0">
      <text>
        <t xml:space="preserve">Miguel Angel Alvarez :
En caso de que aplique ajuste, se debe indicar con que caracter se ajusta el dato
</t>
      </text>
    </comment>
    <comment ref="Q4" authorId="0" shapeId="0">
      <text>
        <t>Miguel Angel Alvarez :
Aplica solo para datos de tipo texto (caracter, texto, alfanumerico) e indica si se deben quitar los espacios en blanco al inicio de la cadena.</t>
      </text>
    </comment>
    <comment ref="R4" authorId="0" shapeId="0">
      <text>
        <t xml:space="preserve">Miguel Angel Alvarez :
Aplica solo para datos de tipo texto (caracter, texto, alfanumerico) e indica si se deben quitar los espacios en blanco al fin de la cadena.
</t>
      </text>
    </comment>
    <comment ref="S4" authorId="0" shapeId="0">
      <text>
        <t>Miguel Angel Alvarez :
Corresponde a un dato que debe tener un manejo o tratamiento especifico para manejar su integridad</t>
      </text>
    </comment>
    <comment ref="T4" authorId="0" shapeId="0">
      <text>
        <t>Miguel Angel Alvarez :
Indica el valor que se debe asignar al atributo en caso de que no sea ingresado de forma directa</t>
      </text>
    </comment>
    <comment ref="U4" authorId="0" shapeId="0">
      <text>
        <t xml:space="preserve">Miguel Angel Alvarez :
Indica si el valor se genera de forma automatica sin intervención de un tercero (usuario, otro sistema)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mailto:farid.empresa@epm.org" TargetMode="External" Id="rId3" /><Relationship Type="http://schemas.openxmlformats.org/officeDocument/2006/relationships/hyperlink" Target="mailto:farid.empresa@epm.org" TargetMode="External" Id="rId4" /><Relationship Type="http://schemas.openxmlformats.org/officeDocument/2006/relationships/hyperlink" Target="mailto:farid.empresa@epm.org" TargetMode="External" Id="rId5" /><Relationship Type="http://schemas.openxmlformats.org/officeDocument/2006/relationships/hyperlink" Target="mailto:emma.marinillo@protonmail.com" TargetMode="External" Id="rId6" /><Relationship Type="http://schemas.openxmlformats.org/officeDocument/2006/relationships/hyperlink" Target="mailto:emma.marinillo@protonmail.com" TargetMode="External" Id="rId7" /><Relationship Type="http://schemas.openxmlformats.org/officeDocument/2006/relationships/hyperlink" Target="mailto:emma.marinillo@protonmail.com" TargetMode="External" Id="rId8" /><Relationship Type="http://schemas.openxmlformats.org/officeDocument/2006/relationships/hyperlink" Target="mailto:juanes.aristizabal0705@hotmail.com" TargetMode="External" Id="rId9" /><Relationship Type="http://schemas.openxmlformats.org/officeDocument/2006/relationships/hyperlink" Target="mailto:juanes.aristizabal0705@hotmail.com" TargetMode="External" Id="rId10" /><Relationship Type="http://schemas.openxmlformats.org/officeDocument/2006/relationships/hyperlink" Target="mailto:juanes.aristizabal0705@hotmail.com" TargetMode="External" Id="rId11" /><Relationship Type="http://schemas.openxmlformats.org/officeDocument/2006/relationships/hyperlink" Target="mailto:james.rodriguez@gmail.com" TargetMode="External" Id="rId12" /><Relationship Type="http://schemas.openxmlformats.org/officeDocument/2006/relationships/hyperlink" Target="mailto:james.rodriguez@gmail.com" TargetMode="External" Id="rId13" /><Relationship Type="http://schemas.openxmlformats.org/officeDocument/2006/relationships/hyperlink" Target="mailto:james.rodriguez@gmail.com" TargetMode="External" Id="rId14" /><Relationship Type="http://schemas.openxmlformats.org/officeDocument/2006/relationships/hyperlink" Target="mailto:lucho.futbol@uco.net.co" TargetMode="External" Id="rId15" /><Relationship Type="http://schemas.openxmlformats.org/officeDocument/2006/relationships/hyperlink" Target="mailto:lucho.futbol@uco.net.co" TargetMode="External" Id="rId16" /><Relationship Type="http://schemas.openxmlformats.org/officeDocument/2006/relationships/hyperlink" Target="mailto:lucho.futbol@uco.net.co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7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0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3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6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9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5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8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41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44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47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0.xml.rels><Relationships xmlns="http://schemas.openxmlformats.org/package/2006/relationships"><Relationship Type="http://schemas.openxmlformats.org/officeDocument/2006/relationships/hyperlink" Target="applewebdata://4A31782C-94C9-40BA-AD06-77312C4F13C1/" TargetMode="External" Id="rId1" /><Relationship Type="http://schemas.openxmlformats.org/officeDocument/2006/relationships/hyperlink" Target="applewebdata://4A31782C-94C9-40BA-AD06-77312C4F13C1/" TargetMode="External" Id="rId2" /><Relationship Type="http://schemas.openxmlformats.org/officeDocument/2006/relationships/hyperlink" Target="applewebdata://4A31782C-94C9-40BA-AD06-77312C4F13C1/" TargetMode="External" Id="rId3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75" zoomScaleNormal="125" workbookViewId="0">
      <pane ySplit="1" topLeftCell="A2" activePane="bottomLeft" state="frozen"/>
      <selection pane="bottomLeft" activeCell="A1" sqref="A1"/>
    </sheetView>
  </sheetViews>
  <sheetFormatPr baseColWidth="8" defaultColWidth="11" defaultRowHeight="15.95"/>
  <sheetData>
    <row r="1">
      <c r="A1" s="4" t="inlineStr">
        <is>
          <t>Ir al listado de objetos de dominio &gt;&gt;</t>
        </is>
      </c>
    </row>
    <row r="13">
      <c r="F13" s="1" t="n"/>
    </row>
  </sheetData>
  <hyperlinks>
    <hyperlink ref="A1" location="ListadoObjetosDominio!A1" display="Ir al listado de objetos de dominio &gt;&gt;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57" zoomScaleNormal="125" workbookViewId="0">
      <pane ySplit="1" topLeftCell="A2" activePane="bottomLeft" state="frozen"/>
      <selection pane="bottomLeft" activeCell="J45" sqref="J45"/>
    </sheetView>
  </sheetViews>
  <sheetFormatPr baseColWidth="8" defaultColWidth="11" defaultRowHeight="15.95"/>
  <sheetData>
    <row r="1">
      <c r="A1" s="4" t="inlineStr">
        <is>
          <t>Ir al listado de objetos de dominio &gt;&gt;</t>
        </is>
      </c>
    </row>
    <row r="13">
      <c r="F13" s="1" t="n"/>
    </row>
  </sheetData>
  <hyperlinks>
    <hyperlink ref="A1" location="ListadoObjetosDominio!A1" display="Ir al listado de objetos de dominio &gt;&gt;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pane ySplit="1" topLeftCell="A2" activePane="bottomLeft" state="frozen"/>
      <selection pane="bottomLeft" activeCell="E3" sqref="E3"/>
    </sheetView>
  </sheetViews>
  <sheetFormatPr baseColWidth="8" defaultColWidth="11" defaultRowHeight="15.95"/>
  <cols>
    <col width="12.5" customWidth="1" style="354" min="1" max="1"/>
    <col width="17.625" customWidth="1" style="354" min="2" max="2"/>
    <col width="45.875" customWidth="1" style="3" min="3" max="3"/>
    <col width="17.125" customWidth="1" style="354" min="4" max="4"/>
    <col width="21" customWidth="1" style="354" min="5" max="5"/>
  </cols>
  <sheetData>
    <row r="1">
      <c r="A1" s="4" t="inlineStr">
        <is>
          <t xml:space="preserve">&lt;&lt;Ir al modelo de dominio </t>
        </is>
      </c>
    </row>
    <row r="2">
      <c r="A2" s="2" t="inlineStr">
        <is>
          <t>Línea de vida</t>
        </is>
      </c>
      <c r="B2" s="2" t="inlineStr">
        <is>
          <t>Nombre</t>
        </is>
      </c>
      <c r="C2" s="2" t="inlineStr">
        <is>
          <t>Descripción</t>
        </is>
      </c>
      <c r="D2" s="2" t="inlineStr">
        <is>
          <t>Muestreo de datos</t>
        </is>
      </c>
      <c r="E2" s="2" t="inlineStr">
        <is>
          <t>Caracterización objeto</t>
        </is>
      </c>
    </row>
    <row r="3" ht="46.5" customHeight="1" s="354">
      <c r="A3" s="5" t="n">
        <v>1</v>
      </c>
      <c r="B3" s="5" t="inlineStr">
        <is>
          <t>Cliente</t>
        </is>
      </c>
      <c r="C3" s="6" t="inlineStr">
        <is>
          <t>Objeto de dominio que representa a cada uno de los usuarios registrados que realizan compras en la plataforma de Imexcol.</t>
        </is>
      </c>
      <c r="D3" s="268" t="inlineStr">
        <is>
          <t>Ir</t>
        </is>
      </c>
      <c r="E3" s="109" t="inlineStr">
        <is>
          <t>Ir</t>
        </is>
      </c>
    </row>
    <row r="4" ht="51" customHeight="1" s="354">
      <c r="A4" s="5" t="n">
        <v>2</v>
      </c>
      <c r="B4" s="5" t="inlineStr">
        <is>
          <t>Administrador</t>
        </is>
      </c>
      <c r="C4" s="6" t="inlineStr">
        <is>
          <t>Objeto de dominio que representa al personal interno encargado de gestionar el catálogo, los pedidos y la operación general del sistema.</t>
        </is>
      </c>
      <c r="D4" s="268" t="inlineStr">
        <is>
          <t>Ir</t>
        </is>
      </c>
      <c r="E4" s="109" t="inlineStr">
        <is>
          <t>Ir</t>
        </is>
      </c>
    </row>
    <row r="5" ht="51" customHeight="1" s="354">
      <c r="A5" s="5" t="n">
        <v>3</v>
      </c>
      <c r="B5" s="5" t="inlineStr">
        <is>
          <t>Dirección</t>
        </is>
      </c>
      <c r="C5" s="6" t="inlineStr">
        <is>
          <t>Objeto de dominio que representa la ubicación física y estructurada que registra un cliente para la entrega de sus productos o propósitos de facturación.</t>
        </is>
      </c>
      <c r="D5" s="268" t="inlineStr">
        <is>
          <t>Ir</t>
        </is>
      </c>
      <c r="E5" s="109" t="inlineStr">
        <is>
          <t>Ir</t>
        </is>
      </c>
    </row>
    <row r="6" ht="51" customHeight="1" s="354">
      <c r="A6" s="5" t="n">
        <v>4</v>
      </c>
      <c r="B6" s="5" t="inlineStr">
        <is>
          <t>Categoría</t>
        </is>
      </c>
      <c r="C6" s="6" t="inlineStr">
        <is>
          <t xml:space="preserve"> Objeto de dominio que representa a cada una de las agrupaciones taxonómicas en las que se organizan los productos del catálogo de Imexcol.</t>
        </is>
      </c>
      <c r="D6" s="268" t="inlineStr">
        <is>
          <t>Ir</t>
        </is>
      </c>
      <c r="E6" s="109" t="inlineStr">
        <is>
          <t>Ir</t>
        </is>
      </c>
    </row>
    <row r="7" ht="51" customHeight="1" s="354">
      <c r="A7" s="5" t="n">
        <v>5</v>
      </c>
      <c r="B7" s="5" t="inlineStr">
        <is>
          <t>Producto</t>
        </is>
      </c>
      <c r="C7" s="6" t="inlineStr">
        <is>
          <t xml:space="preserve">  Objeto de dominio que representa a cada uno de los artículos de importación (bolsos, juguetes, etc.) que están disponibles para la venta en la tienda.</t>
        </is>
      </c>
      <c r="D7" s="268" t="inlineStr">
        <is>
          <t>Ir</t>
        </is>
      </c>
      <c r="E7" s="109" t="inlineStr">
        <is>
          <t>Ir</t>
        </is>
      </c>
    </row>
    <row r="8" ht="51" customHeight="1" s="354">
      <c r="A8" s="5" t="n">
        <v>6</v>
      </c>
      <c r="B8" s="5" t="inlineStr">
        <is>
          <t>ImagenProducto</t>
        </is>
      </c>
      <c r="C8" s="6" t="inlineStr">
        <is>
          <t>Objeto de dominio que representa a cada uno de los recursos visuales o fotografías asociadas a un producto para su exhibición.</t>
        </is>
      </c>
      <c r="D8" s="268" t="inlineStr">
        <is>
          <t>Ir</t>
        </is>
      </c>
      <c r="E8" s="109" t="inlineStr">
        <is>
          <t>Ir</t>
        </is>
      </c>
    </row>
    <row r="9" ht="51" customHeight="1" s="354">
      <c r="A9" s="105" t="n">
        <v>7</v>
      </c>
      <c r="B9" s="105" t="inlineStr">
        <is>
          <t>Reseña</t>
        </is>
      </c>
      <c r="C9" s="294" t="inlineStr">
        <is>
          <t>Objeto de dominio que representa a cada una de las calificaciones y comentarios dejados por un cliente sobre un producto específico que ya ha comprado.</t>
        </is>
      </c>
      <c r="D9" s="268" t="inlineStr">
        <is>
          <t>Ir</t>
        </is>
      </c>
      <c r="E9" s="109" t="inlineStr">
        <is>
          <t>Ir</t>
        </is>
      </c>
    </row>
    <row r="10" ht="84.95" customHeight="1" s="354">
      <c r="A10" s="107" t="n">
        <v>8</v>
      </c>
      <c r="B10" s="108" t="inlineStr">
        <is>
          <t>CarritoCompras</t>
        </is>
      </c>
      <c r="C10" s="6" t="inlineStr">
        <is>
          <t xml:space="preserve">Objeto de dominio que representa la sesión temporal donde un cliente agrupa los productos que tiene intención de adquirir antes de formalizar la transacción.
</t>
        </is>
      </c>
      <c r="D10" s="268" t="inlineStr">
        <is>
          <t>Ir</t>
        </is>
      </c>
      <c r="E10" s="6" t="inlineStr">
        <is>
          <t xml:space="preserve">Ir </t>
        </is>
      </c>
    </row>
    <row r="11" ht="51" customHeight="1" s="354">
      <c r="A11" s="107" t="n">
        <v>9</v>
      </c>
      <c r="B11" s="107" t="inlineStr">
        <is>
          <t>ItemCarrito</t>
        </is>
      </c>
      <c r="C11" s="6" t="inlineStr">
        <is>
          <t>Objeto de dominio que representa a cada una de las selecciones individuales (producto específico y cantidad) dentro del carrito activo de un cliente.</t>
        </is>
      </c>
      <c r="D11" s="268" t="inlineStr">
        <is>
          <t>Ir</t>
        </is>
      </c>
      <c r="E11" s="6" t="inlineStr">
        <is>
          <t>Ir</t>
        </is>
      </c>
    </row>
    <row r="12" ht="51" customHeight="1" s="354">
      <c r="A12" s="107" t="n">
        <v>10</v>
      </c>
      <c r="B12" s="107" t="inlineStr">
        <is>
          <t>Pedido</t>
        </is>
      </c>
      <c r="C12" s="6" t="inlineStr">
        <is>
          <t>Objeto de dominio que representa la confirmación formal, transaccional y definitiva de una compra realizada por un cliente en Imexcol.</t>
        </is>
      </c>
      <c r="D12" s="268" t="inlineStr">
        <is>
          <t>Ir</t>
        </is>
      </c>
      <c r="E12" s="6" t="inlineStr">
        <is>
          <t>Ir</t>
        </is>
      </c>
    </row>
    <row r="13" ht="84.95" customHeight="1" s="354">
      <c r="A13" s="107" t="n">
        <v>11</v>
      </c>
      <c r="B13" s="107" t="inlineStr">
        <is>
          <t>LineaPedido</t>
        </is>
      </c>
      <c r="C13" s="6" t="inlineStr">
        <is>
          <t>Objeto de dominio que representa el detalle individual de un pedido, permitiendo registrar de forma histórica cada producto adquirido, su cantidad y su valor al momento de confirmar la compra. (Evidencia histórica de la compra)</t>
        </is>
      </c>
      <c r="D13" s="268" t="inlineStr">
        <is>
          <t>Ir</t>
        </is>
      </c>
      <c r="E13" s="6" t="inlineStr">
        <is>
          <t>Ir</t>
        </is>
      </c>
    </row>
    <row r="14" ht="51" customHeight="1" s="354">
      <c r="A14" s="107" t="n">
        <v>12</v>
      </c>
      <c r="B14" s="107" t="inlineStr">
        <is>
          <t>Pago</t>
        </is>
      </c>
      <c r="C14" s="6" t="inlineStr">
        <is>
          <t>Objeto de dominio que representa el registro de la transacción financiera procesada a través de la pasarela de pagos para saldar un pedido.</t>
        </is>
      </c>
      <c r="D14" s="268" t="inlineStr">
        <is>
          <t>Ir</t>
        </is>
      </c>
      <c r="E14" s="6" t="inlineStr">
        <is>
          <t>Ir</t>
        </is>
      </c>
    </row>
    <row r="15" ht="68.09999999999999" customHeight="1" s="354">
      <c r="A15" s="107" t="n">
        <v>13</v>
      </c>
      <c r="B15" s="107" t="inlineStr">
        <is>
          <t>MetodoPago</t>
        </is>
      </c>
      <c r="C15" s="6" t="inlineStr">
        <is>
          <t>Objeto de dominio que representa el instrumento financiero o forma transaccional utilizada por el cliente (tarjeta de crédito, PSE, etc.) para realizar el pago.</t>
        </is>
      </c>
      <c r="D15" s="268" t="inlineStr">
        <is>
          <t>Ir</t>
        </is>
      </c>
      <c r="E15" s="6" t="inlineStr">
        <is>
          <t>Ir</t>
        </is>
      </c>
    </row>
    <row r="16" ht="51" customHeight="1" s="354">
      <c r="A16" s="107" t="n">
        <v>14</v>
      </c>
      <c r="B16" s="107" t="inlineStr">
        <is>
          <t>Factura</t>
        </is>
      </c>
      <c r="C16" s="6" t="inlineStr">
        <is>
          <t>Objeto de dominio que representa el comprobante legal y contable emitido al cliente con el desglose de impuestos una vez el pago ha sido exitoso.</t>
        </is>
      </c>
      <c r="D16" s="268" t="inlineStr">
        <is>
          <t>Ir</t>
        </is>
      </c>
      <c r="E16" s="6" t="inlineStr">
        <is>
          <t>Ir</t>
        </is>
      </c>
    </row>
    <row r="17" ht="51" customHeight="1" s="354">
      <c r="A17" s="107" t="n">
        <v>15</v>
      </c>
      <c r="B17" s="107" t="inlineStr">
        <is>
          <t>Envio</t>
        </is>
      </c>
      <c r="C17" s="6" t="inlineStr">
        <is>
          <t>Objeto de dominio que representa el proceso logístico y de despacho de un pedido aprobado hacia la dirección de entrega del cliente.</t>
        </is>
      </c>
      <c r="D17" s="268" t="inlineStr">
        <is>
          <t>Ir</t>
        </is>
      </c>
      <c r="E17" s="6" t="inlineStr">
        <is>
          <t>Ir</t>
        </is>
      </c>
    </row>
    <row r="18" ht="84.95" customHeight="1" s="354">
      <c r="A18" s="107" t="n">
        <v>16</v>
      </c>
      <c r="B18" s="107" t="inlineStr">
        <is>
          <t>EventoRastreo</t>
        </is>
      </c>
      <c r="C18" s="6" t="inlineStr">
        <is>
          <t xml:space="preserve">Objeto de dominio que representa a cada una de las actualizaciones o hitos temporales (ej. en preparación, en tránsito, entregado) que ocurren durante el ciclo de vida de un envío.
</t>
        </is>
      </c>
      <c r="D18" s="268" t="inlineStr">
        <is>
          <t>Ir</t>
        </is>
      </c>
      <c r="E18" s="6" t="inlineStr">
        <is>
          <t>Ir</t>
        </is>
      </c>
    </row>
  </sheetData>
  <hyperlinks>
    <hyperlink ref="A1" location="'Modelo de dominio'!A1" display="&lt;&lt;Ir al modelo de dominio "/>
    <hyperlink ref="D3" location="'M-Cliente'!B3" display="Ir"/>
    <hyperlink ref="D4" location="'M-Administrador'!B2" display="Ir"/>
    <hyperlink ref="D5" location="'M-Dirección'!B2" display="Ir"/>
    <hyperlink ref="D6" location="'M-Categoria'!B2" display="Ir"/>
    <hyperlink ref="D7" location="'M-Producto'!B2" display="Ir"/>
    <hyperlink ref="D8" location="'M-ImagenProducto'!B3" display="Ir"/>
    <hyperlink ref="D9" location="'M-Reseña'!B2" display="Ir"/>
    <hyperlink ref="D10" location="'M-CarritoCompras'!B2" display="Ir"/>
    <hyperlink ref="D11" location="'M-ItemCarrito'!B2" display="Ir"/>
    <hyperlink ref="D12" location="'M-Pedido'!B2" display="Ir"/>
    <hyperlink ref="D13" location="'M-LineaPedido'!B2" display="Ir"/>
    <hyperlink ref="D14" location="'M-Pagos'!B2" display="Ir"/>
    <hyperlink ref="D15" location="'M-MetodoPago'!B2" display="Ir"/>
    <hyperlink ref="D16" location="'M-Factura'!B2" display="Ir"/>
    <hyperlink ref="D17" location="'M-Envio'!B2" display="Ir"/>
    <hyperlink ref="D18" location="'M-EnvioRastreo'!B2" display="I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topLeftCell="A11" workbookViewId="0">
      <selection activeCell="B10" sqref="B10"/>
    </sheetView>
  </sheetViews>
  <sheetFormatPr baseColWidth="8" defaultColWidth="11" defaultRowHeight="15.95"/>
  <cols>
    <col width="17.875" customWidth="1" style="354" min="1" max="3"/>
    <col width="99.5" customWidth="1" style="354" min="4" max="4"/>
    <col width="31.625" customWidth="1" style="354" min="5" max="5"/>
    <col width="14.625" customWidth="1" style="354" min="6" max="6"/>
    <col width="33.5" customWidth="1" style="354" min="7" max="7"/>
    <col width="30.625" customWidth="1" style="354" min="8" max="8"/>
  </cols>
  <sheetData>
    <row r="1">
      <c r="A1" s="221" t="inlineStr">
        <is>
          <t>&lt;&lt; Ir al modelo de dominio</t>
        </is>
      </c>
      <c r="E1" s="27" t="n"/>
      <c r="I1" s="221" t="inlineStr">
        <is>
          <t xml:space="preserve">&lt;&lt; Ir a la caracterización del objeto de dominio </t>
        </is>
      </c>
    </row>
    <row r="2">
      <c r="F2" s="223" t="inlineStr">
        <is>
          <t>&lt;&lt; Ir al listado de objetos de dominio</t>
        </is>
      </c>
    </row>
    <row r="3">
      <c r="A3" s="21" t="inlineStr">
        <is>
          <t>Nombre</t>
        </is>
      </c>
      <c r="B3" s="227">
        <f>ListadoObjetosDominio!B3</f>
        <v/>
      </c>
      <c r="E3" s="58" t="n"/>
      <c r="F3" s="58" t="n"/>
      <c r="G3" s="58" t="n"/>
      <c r="H3" s="58" t="n"/>
    </row>
    <row r="4">
      <c r="A4" s="21" t="inlineStr">
        <is>
          <t>Descripción</t>
        </is>
      </c>
      <c r="B4" s="228">
        <f>ListadoObjetosDominio!C3</f>
        <v/>
      </c>
    </row>
    <row r="5" ht="102" customHeight="1" s="354">
      <c r="A5" s="29" t="inlineStr">
        <is>
          <t>Identificador único universal (UUID) del cliente, generado automáticamente al registrarse.</t>
        </is>
      </c>
      <c r="B5" s="29" t="inlineStr">
        <is>
          <t>Representa el nombre o nombres del cliente.</t>
        </is>
      </c>
      <c r="C5" s="29" t="inlineStr">
        <is>
          <t>Representa el apellido o apellidos del cliente.</t>
        </is>
      </c>
      <c r="D5" s="35" t="inlineStr">
        <is>
          <t>Representa el correo electrónico único de contacto y autenticación del cliente.</t>
        </is>
      </c>
      <c r="E5" s="29" t="inlineStr">
        <is>
          <t>Contraseña del cliente almacenada de forma segura para autenticación.</t>
        </is>
      </c>
      <c r="F5" s="29" t="inlineStr">
        <is>
          <t>Número de teléfono de contacto del cliente (opcional).</t>
        </is>
      </c>
      <c r="G5" s="29" t="inlineStr">
        <is>
          <t>Indica si el cliente está activo (true) o inactivo (false) en el sistema.</t>
        </is>
      </c>
      <c r="H5" s="29" t="n"/>
    </row>
    <row r="6">
      <c r="A6" s="22" t="inlineStr">
        <is>
          <t>id</t>
        </is>
      </c>
      <c r="B6" s="22" t="inlineStr">
        <is>
          <t>nombre</t>
        </is>
      </c>
      <c r="C6" s="22" t="inlineStr">
        <is>
          <t>apellido</t>
        </is>
      </c>
      <c r="D6" s="22" t="inlineStr">
        <is>
          <t>correoElectronico</t>
        </is>
      </c>
      <c r="E6" s="22" t="inlineStr">
        <is>
          <t>contrasena</t>
        </is>
      </c>
      <c r="F6" s="22" t="inlineStr">
        <is>
          <t>telefono</t>
        </is>
      </c>
      <c r="G6" s="24" t="inlineStr">
        <is>
          <t>estado</t>
        </is>
      </c>
      <c r="H6" s="111" t="n"/>
    </row>
    <row r="7">
      <c r="A7" s="28" t="inlineStr">
        <is>
          <t>3F2504E0-4F89-11D3-9A0C-0305E82C3301</t>
        </is>
      </c>
      <c r="B7" s="126" t="inlineStr">
        <is>
          <t>Carlos</t>
        </is>
      </c>
      <c r="C7" s="126" t="inlineStr">
        <is>
          <t>Restrepo</t>
        </is>
      </c>
      <c r="D7" s="13" t="inlineStr">
        <is>
          <t>carlos.restrepo@imexcol.com</t>
        </is>
      </c>
      <c r="E7" s="33" t="inlineStr">
        <is>
          <t>********</t>
        </is>
      </c>
      <c r="F7" s="13" t="inlineStr">
        <is>
          <t>3001112233</t>
        </is>
      </c>
      <c r="G7" s="34" t="b">
        <v>1</v>
      </c>
      <c r="H7" s="112" t="n"/>
    </row>
    <row r="8">
      <c r="A8" s="28" t="inlineStr">
        <is>
          <t>3F2504E0-4F89-11D3-9A0C-0305E82C3302</t>
        </is>
      </c>
      <c r="B8" s="126" t="inlineStr">
        <is>
          <t>María</t>
        </is>
      </c>
      <c r="C8" s="126" t="inlineStr">
        <is>
          <t>González</t>
        </is>
      </c>
      <c r="D8" s="13" t="inlineStr">
        <is>
          <t>maria.gonzalez@imexcol.com</t>
        </is>
      </c>
      <c r="E8" s="33" t="inlineStr">
        <is>
          <t>********</t>
        </is>
      </c>
      <c r="F8" s="13" t="inlineStr">
        <is>
          <t>3104445566</t>
        </is>
      </c>
      <c r="G8" s="34" t="b">
        <v>1</v>
      </c>
      <c r="H8" s="112" t="n"/>
    </row>
    <row r="9">
      <c r="A9" s="28" t="inlineStr">
        <is>
          <t>3F2504E0-4F89-11D3-9A0C-0305E82C3303</t>
        </is>
      </c>
      <c r="B9" s="126" t="inlineStr">
        <is>
          <t>Andrés</t>
        </is>
      </c>
      <c r="C9" s="126" t="inlineStr">
        <is>
          <t>Mejía</t>
        </is>
      </c>
      <c r="D9" s="13" t="inlineStr">
        <is>
          <t>andres.mejia@imexcol.com</t>
        </is>
      </c>
      <c r="E9" s="33" t="inlineStr">
        <is>
          <t>********</t>
        </is>
      </c>
      <c r="F9" s="13" t="inlineStr">
        <is>
          <t>3207778899</t>
        </is>
      </c>
      <c r="G9" s="34" t="b">
        <v>1</v>
      </c>
      <c r="H9" s="112" t="n"/>
    </row>
    <row r="10">
      <c r="A10" s="28" t="inlineStr">
        <is>
          <t>3F2504E0-4F89-11D3-9A0C-0305E82C3304</t>
        </is>
      </c>
      <c r="B10" s="126" t="inlineStr">
        <is>
          <t>Camila</t>
        </is>
      </c>
      <c r="C10" s="126" t="inlineStr">
        <is>
          <t>Ramírez</t>
        </is>
      </c>
      <c r="D10" s="13" t="inlineStr">
        <is>
          <t>camila.ramirez@imexcol.com</t>
        </is>
      </c>
      <c r="E10" s="33" t="inlineStr">
        <is>
          <t>********</t>
        </is>
      </c>
      <c r="F10" s="13" t="inlineStr">
        <is>
          <t>3151231234</t>
        </is>
      </c>
      <c r="G10" s="34" t="b">
        <v>1</v>
      </c>
      <c r="H10" s="112" t="n"/>
    </row>
    <row r="11">
      <c r="A11" s="28" t="inlineStr">
        <is>
          <t>3F2504E0-4F89-11D3-9A0C-0305E82C3305</t>
        </is>
      </c>
      <c r="B11" s="126" t="inlineStr">
        <is>
          <t>Daniel</t>
        </is>
      </c>
      <c r="C11" s="126" t="inlineStr">
        <is>
          <t>Pérez</t>
        </is>
      </c>
      <c r="D11" s="13" t="inlineStr">
        <is>
          <t>daniel.perez@imexcol.com</t>
        </is>
      </c>
      <c r="E11" s="33" t="inlineStr">
        <is>
          <t>********</t>
        </is>
      </c>
      <c r="F11" s="13" t="inlineStr">
        <is>
          <t>3009998877</t>
        </is>
      </c>
      <c r="G11" s="34" t="b">
        <v>0</v>
      </c>
      <c r="H11" s="112" t="n"/>
    </row>
    <row r="14">
      <c r="A14" s="353" t="inlineStr">
        <is>
          <t>Corresponde a los datos generales del objeto de dominio (nombre, descripción)</t>
        </is>
      </c>
      <c r="B14" s="353" t="n"/>
      <c r="C14" s="353" t="n"/>
      <c r="D14" s="353" t="n"/>
      <c r="E14" s="58" t="n"/>
      <c r="F14" s="58" t="n"/>
      <c r="G14" s="58" t="n"/>
      <c r="H14" s="58" t="n"/>
    </row>
    <row r="15">
      <c r="A15" s="226" t="inlineStr">
        <is>
          <t>Corresponde a las descripciones de los atributos</t>
        </is>
      </c>
      <c r="E15" s="59" t="n"/>
      <c r="F15" s="59" t="n"/>
      <c r="G15" s="59" t="n"/>
      <c r="H15" s="113" t="n"/>
    </row>
    <row r="16">
      <c r="A16" s="225" t="inlineStr">
        <is>
          <t>Coresponde al nombre de los atributos</t>
        </is>
      </c>
      <c r="H16" s="114" t="n"/>
    </row>
    <row r="17">
      <c r="A17" s="224" t="inlineStr">
        <is>
          <t>Corresponde a los datos que son de libre ingreso</t>
        </is>
      </c>
    </row>
    <row r="18">
      <c r="A18" s="60" t="inlineStr">
        <is>
          <t>Corresponde a los datos que se generarán automáticamente (idCliente)</t>
        </is>
      </c>
      <c r="B18" s="60" t="n"/>
      <c r="C18" s="60" t="n"/>
      <c r="D18" s="60" t="n"/>
      <c r="E18" s="60" t="n"/>
      <c r="F18" s="60" t="n"/>
      <c r="G18" s="60" t="n"/>
      <c r="H18" s="115" t="n"/>
    </row>
    <row r="19">
      <c r="A19" s="222" t="inlineStr">
        <is>
          <t>Corresponde a la combinación única 1</t>
        </is>
      </c>
      <c r="H19" s="116" t="n"/>
    </row>
    <row r="20">
      <c r="A20" s="117" t="inlineStr">
        <is>
          <t>Corresponde a la combinación única 2</t>
        </is>
      </c>
      <c r="B20" s="117" t="n"/>
      <c r="C20" s="117" t="n"/>
      <c r="D20" s="117" t="n"/>
      <c r="E20" s="117" t="n"/>
      <c r="F20" s="117" t="n"/>
      <c r="G20" s="117" t="n"/>
      <c r="H20" s="117" t="n"/>
    </row>
  </sheetData>
  <mergeCells count="9">
    <mergeCell ref="A1:D1"/>
    <mergeCell ref="B3:D3"/>
    <mergeCell ref="A17:G17"/>
    <mergeCell ref="I1:L1"/>
    <mergeCell ref="B4:D4"/>
    <mergeCell ref="A15:D15"/>
    <mergeCell ref="A16:G16"/>
    <mergeCell ref="F2:H2"/>
    <mergeCell ref="A19:G19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I1" location="'C-ImagenProducto '!A1" display="applewebdata://4A31782C-94C9-40BA-AD06-77312C4F13C1/ - 'C-ImagenProducto '!A1" r:id="rId2"/>
    <hyperlink ref="F2" location="ListadoObjetosDominio!A1" display="&lt;&lt; Ir al listado de objetos de dominio"/>
    <hyperlink xmlns:r="http://schemas.openxmlformats.org/officeDocument/2006/relationships" ref="E7" r:id="rId3"/>
    <hyperlink xmlns:r="http://schemas.openxmlformats.org/officeDocument/2006/relationships" ref="G7" r:id="rId4"/>
    <hyperlink xmlns:r="http://schemas.openxmlformats.org/officeDocument/2006/relationships" ref="H7" display="farid.empresa@epm.org" r:id="rId5"/>
    <hyperlink xmlns:r="http://schemas.openxmlformats.org/officeDocument/2006/relationships" ref="E8" r:id="rId6"/>
    <hyperlink xmlns:r="http://schemas.openxmlformats.org/officeDocument/2006/relationships" ref="G8" r:id="rId7"/>
    <hyperlink xmlns:r="http://schemas.openxmlformats.org/officeDocument/2006/relationships" ref="H8" display="emma.marinillo@protonmail.com" r:id="rId8"/>
    <hyperlink xmlns:r="http://schemas.openxmlformats.org/officeDocument/2006/relationships" ref="E9" r:id="rId9"/>
    <hyperlink xmlns:r="http://schemas.openxmlformats.org/officeDocument/2006/relationships" ref="G9" r:id="rId10"/>
    <hyperlink xmlns:r="http://schemas.openxmlformats.org/officeDocument/2006/relationships" ref="H9" display="juanes.aristizabal0705@hotmail.com" r:id="rId11"/>
    <hyperlink xmlns:r="http://schemas.openxmlformats.org/officeDocument/2006/relationships" ref="E10" r:id="rId12"/>
    <hyperlink xmlns:r="http://schemas.openxmlformats.org/officeDocument/2006/relationships" ref="G10" r:id="rId13"/>
    <hyperlink xmlns:r="http://schemas.openxmlformats.org/officeDocument/2006/relationships" ref="H10" display="james.rodriguez@gmail.com" r:id="rId14"/>
    <hyperlink xmlns:r="http://schemas.openxmlformats.org/officeDocument/2006/relationships" ref="E11" r:id="rId15"/>
    <hyperlink xmlns:r="http://schemas.openxmlformats.org/officeDocument/2006/relationships" ref="G11" r:id="rId16"/>
    <hyperlink xmlns:r="http://schemas.openxmlformats.org/officeDocument/2006/relationships" ref="H11" display="lucho.futbol@uco.net.co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3"/>
  <sheetViews>
    <sheetView zoomScale="90" zoomScaleNormal="90" workbookViewId="0">
      <selection activeCell="F14" sqref="F14"/>
    </sheetView>
  </sheetViews>
  <sheetFormatPr baseColWidth="8" defaultColWidth="11" defaultRowHeight="15.95"/>
  <cols>
    <col width="14.125" customWidth="1" style="354" min="1" max="1"/>
    <col width="26.125" customWidth="1" style="354" min="2" max="2"/>
    <col width="15.5" customWidth="1" style="354" min="3" max="3"/>
    <col width="17.625" customWidth="1" style="354" min="4" max="4"/>
    <col width="19.5" customWidth="1" style="354" min="6" max="6"/>
    <col width="19.375" customWidth="1" style="354" min="7" max="7"/>
    <col width="19.5" bestFit="1" customWidth="1" style="354" min="9" max="9"/>
    <col width="19.625" bestFit="1" customWidth="1" style="354" min="10" max="10"/>
    <col width="18.5" bestFit="1" customWidth="1" style="354" min="11" max="11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'M-Cliente'!B3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36" t="inlineStr">
        <is>
          <t>Descripción</t>
        </is>
      </c>
      <c r="B3" s="36">
        <f>'M-Cliente'!B4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</row>
    <row r="4">
      <c r="A4" s="40" t="inlineStr">
        <is>
          <t>Nombre atributo</t>
        </is>
      </c>
      <c r="B4" s="40" t="inlineStr">
        <is>
          <t>Descripción atributo</t>
        </is>
      </c>
      <c r="C4" s="40" t="inlineStr">
        <is>
          <t>Identificador del objeto de dominio</t>
        </is>
      </c>
      <c r="D4" s="40" t="inlineStr">
        <is>
          <t xml:space="preserve">Tipo de dato </t>
        </is>
      </c>
      <c r="E4" s="40" t="inlineStr">
        <is>
          <t>Obligatorio</t>
        </is>
      </c>
      <c r="F4" s="40" t="inlineStr">
        <is>
          <t xml:space="preserve"> Longitud minima(si aplica longitud maxima(si aplica)</t>
        </is>
      </c>
      <c r="G4" s="40" t="inlineStr">
        <is>
          <t xml:space="preserve"> Longitud maxima(si aplica longitud maxima(si aplica)</t>
        </is>
      </c>
      <c r="H4" s="40" t="inlineStr">
        <is>
          <t>Precisión (si aplica)</t>
        </is>
      </c>
      <c r="I4" s="40" t="inlineStr">
        <is>
          <t>Redondeo(si aplica)</t>
        </is>
      </c>
      <c r="J4" s="40" t="inlineStr">
        <is>
          <t>Rango inicial(si aplica)</t>
        </is>
      </c>
      <c r="K4" s="40" t="inlineStr">
        <is>
          <t>Rango final (si aplica)</t>
        </is>
      </c>
      <c r="L4" s="40" t="inlineStr">
        <is>
          <t>Formato(Si aplica)</t>
        </is>
      </c>
      <c r="M4" s="40" t="inlineStr">
        <is>
          <t>Reglas especiales(si aplica)</t>
        </is>
      </c>
      <c r="N4" s="40" t="inlineStr">
        <is>
          <t xml:space="preserve">Dato calculado </t>
        </is>
      </c>
      <c r="O4" s="40" t="inlineStr">
        <is>
          <t>Aplica ajuste del dato(si aplica)</t>
        </is>
      </c>
      <c r="P4" s="40" t="inlineStr">
        <is>
          <t>Carácter de ajuste(si aplica)</t>
        </is>
      </c>
      <c r="Q4" s="40" t="inlineStr">
        <is>
          <t>Quitar espacios en blanco al inicio(si aplica)</t>
        </is>
      </c>
      <c r="R4" s="40" t="inlineStr">
        <is>
          <t>Quitar espacios en blanco al fin(si aplica)</t>
        </is>
      </c>
      <c r="S4" s="40" t="inlineStr">
        <is>
          <t>Dato sensible(si aplica)</t>
        </is>
      </c>
      <c r="T4" s="40" t="inlineStr">
        <is>
          <t>Valor por defecto(si aplica)</t>
        </is>
      </c>
      <c r="U4" s="40" t="inlineStr">
        <is>
          <t>Auto generado</t>
        </is>
      </c>
    </row>
    <row r="5" ht="56.1" customHeight="1" s="354">
      <c r="A5" s="45">
        <f>'M-Cliente'!A6</f>
        <v/>
      </c>
      <c r="B5" s="45">
        <f>'M-Cliente'!A5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</row>
    <row r="6" ht="42" customHeight="1" s="354">
      <c r="A6" s="45">
        <f>'M-Cliente'!B6</f>
        <v/>
      </c>
      <c r="B6" s="45">
        <f>'M-Cliente'!B5</f>
        <v/>
      </c>
      <c r="C6" s="45" t="inlineStr">
        <is>
          <t>No</t>
        </is>
      </c>
      <c r="D6" s="45" t="inlineStr">
        <is>
          <t>Caracter</t>
        </is>
      </c>
      <c r="E6" s="45" t="inlineStr">
        <is>
          <t>Si</t>
        </is>
      </c>
      <c r="F6" s="45" t="n">
        <v>2</v>
      </c>
      <c r="G6" s="45" t="n">
        <v>2</v>
      </c>
      <c r="H6" s="45" t="n"/>
      <c r="I6" s="45" t="n"/>
      <c r="J6" s="45" t="n"/>
      <c r="K6" s="45" t="n"/>
      <c r="L6" s="45" t="inlineStr">
        <is>
          <t>Mayusculas</t>
        </is>
      </c>
      <c r="M6" s="45" t="inlineStr">
        <is>
          <t>Solo valores: CC, CE, NIT, TI</t>
        </is>
      </c>
      <c r="N6" s="45" t="inlineStr">
        <is>
          <t>No</t>
        </is>
      </c>
      <c r="O6" s="45" t="inlineStr">
        <is>
          <t>Si</t>
        </is>
      </c>
      <c r="P6" s="45" t="inlineStr">
        <is>
          <t>Espacio</t>
        </is>
      </c>
      <c r="Q6" s="45" t="inlineStr">
        <is>
          <t>Si</t>
        </is>
      </c>
      <c r="R6" s="45" t="inlineStr">
        <is>
          <t>Si</t>
        </is>
      </c>
      <c r="S6" s="45" t="inlineStr">
        <is>
          <t>No</t>
        </is>
      </c>
      <c r="T6" s="45" t="inlineStr">
        <is>
          <t>CC</t>
        </is>
      </c>
      <c r="U6" s="45" t="inlineStr">
        <is>
          <t>No</t>
        </is>
      </c>
    </row>
    <row r="7" ht="56.1" customHeight="1" s="354">
      <c r="A7" s="45">
        <f>'M-Cliente'!C6</f>
        <v/>
      </c>
      <c r="B7" s="45">
        <f>'M-Cliente'!D5</f>
        <v/>
      </c>
      <c r="C7" s="45" t="inlineStr">
        <is>
          <t>No</t>
        </is>
      </c>
      <c r="D7" s="45" t="inlineStr">
        <is>
          <t>Alfanumerico</t>
        </is>
      </c>
      <c r="E7" s="45" t="inlineStr">
        <is>
          <t>Si</t>
        </is>
      </c>
      <c r="F7" s="45" t="n">
        <v>5</v>
      </c>
      <c r="G7" s="45" t="n">
        <v>20</v>
      </c>
      <c r="H7" s="45" t="n"/>
      <c r="I7" s="45" t="n"/>
      <c r="J7" s="45" t="n"/>
      <c r="K7" s="45" t="n"/>
      <c r="L7" s="45" t="n"/>
      <c r="M7" s="45" t="inlineStr">
        <is>
          <t>Solo caracteres alfanuméricos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Si</t>
        </is>
      </c>
      <c r="T7" s="45" t="n"/>
      <c r="U7" s="45" t="inlineStr">
        <is>
          <t>No</t>
        </is>
      </c>
    </row>
    <row r="8" ht="27.95" customHeight="1" s="354">
      <c r="A8" s="45">
        <f>'M-Cliente'!D6</f>
        <v/>
      </c>
      <c r="B8" s="45">
        <f>'M-Cliente'!D5</f>
        <v/>
      </c>
      <c r="C8" s="45" t="inlineStr">
        <is>
          <t>No</t>
        </is>
      </c>
      <c r="D8" s="45" t="inlineStr">
        <is>
          <t>Texto</t>
        </is>
      </c>
      <c r="E8" s="45" t="inlineStr">
        <is>
          <t>Si</t>
        </is>
      </c>
      <c r="F8" s="45" t="n">
        <v>3</v>
      </c>
      <c r="G8" s="45" t="n">
        <v>150</v>
      </c>
      <c r="H8" s="45" t="n"/>
      <c r="I8" s="45" t="n"/>
      <c r="J8" s="45" t="n"/>
      <c r="K8" s="45" t="n"/>
      <c r="L8" s="45" t="inlineStr">
        <is>
          <t>Capitalizado</t>
        </is>
      </c>
      <c r="M8" s="45" t="n"/>
      <c r="N8" s="45" t="inlineStr">
        <is>
          <t>No</t>
        </is>
      </c>
      <c r="O8" s="45" t="inlineStr">
        <is>
          <t>No</t>
        </is>
      </c>
      <c r="P8" s="45" t="n"/>
      <c r="Q8" s="45" t="inlineStr">
        <is>
          <t>Si</t>
        </is>
      </c>
      <c r="R8" s="45" t="inlineStr">
        <is>
          <t>Si</t>
        </is>
      </c>
      <c r="S8" s="45" t="inlineStr">
        <is>
          <t>No</t>
        </is>
      </c>
      <c r="T8" s="45" t="n"/>
      <c r="U8" s="45" t="inlineStr">
        <is>
          <t>No</t>
        </is>
      </c>
    </row>
    <row r="9" ht="56.1" customHeight="1" s="354">
      <c r="A9" s="45">
        <f>'M-Cliente'!E6</f>
        <v/>
      </c>
      <c r="B9" s="45">
        <f>'M-Cliente'!E5</f>
        <v/>
      </c>
      <c r="C9" s="45" t="inlineStr">
        <is>
          <t>No</t>
        </is>
      </c>
      <c r="D9" s="45" t="inlineStr">
        <is>
          <t>Alfanumerico</t>
        </is>
      </c>
      <c r="E9" s="45" t="inlineStr">
        <is>
          <t>Si</t>
        </is>
      </c>
      <c r="F9" s="45" t="n">
        <v>5</v>
      </c>
      <c r="G9" s="45" t="n">
        <v>100</v>
      </c>
      <c r="H9" s="45" t="n"/>
      <c r="I9" s="45" t="n"/>
      <c r="J9" s="45" t="n"/>
      <c r="K9" s="45" t="n"/>
      <c r="L9" s="45" t="inlineStr">
        <is>
          <t>email</t>
        </is>
      </c>
      <c r="M9" s="45" t="inlineStr">
        <is>
          <t>Debe contener '@' y dominio válido</t>
        </is>
      </c>
      <c r="N9" s="45" t="inlineStr">
        <is>
          <t>No</t>
        </is>
      </c>
      <c r="O9" s="45" t="inlineStr">
        <is>
          <t>No</t>
        </is>
      </c>
      <c r="P9" s="45" t="n"/>
      <c r="Q9" s="45" t="inlineStr">
        <is>
          <t>Si</t>
        </is>
      </c>
      <c r="R9" s="45" t="inlineStr">
        <is>
          <t>Si</t>
        </is>
      </c>
      <c r="S9" s="45" t="inlineStr">
        <is>
          <t>Si</t>
        </is>
      </c>
      <c r="T9" s="45" t="n"/>
      <c r="U9" s="45" t="inlineStr">
        <is>
          <t>No</t>
        </is>
      </c>
    </row>
    <row r="10" ht="42" customHeight="1" s="354">
      <c r="A10" s="45">
        <f>'M-Cliente'!F6</f>
        <v/>
      </c>
      <c r="B10" s="45">
        <f>'M-Cliente'!F5</f>
        <v/>
      </c>
      <c r="C10" s="45" t="inlineStr">
        <is>
          <t>No</t>
        </is>
      </c>
      <c r="D10" s="45" t="inlineStr">
        <is>
          <t>Numerico</t>
        </is>
      </c>
      <c r="E10" s="45" t="inlineStr">
        <is>
          <t>Si</t>
        </is>
      </c>
      <c r="F10" s="45" t="n">
        <v>10</v>
      </c>
      <c r="G10" s="45" t="n">
        <v>10</v>
      </c>
      <c r="H10" s="45" t="n"/>
      <c r="I10" s="45" t="n"/>
      <c r="J10" s="45" t="n"/>
      <c r="K10" s="45" t="n"/>
      <c r="L10" s="45" t="n"/>
      <c r="M10" s="45" t="n"/>
      <c r="N10" s="45" t="inlineStr">
        <is>
          <t>No</t>
        </is>
      </c>
      <c r="O10" s="45" t="inlineStr">
        <is>
          <t>No</t>
        </is>
      </c>
      <c r="P10" s="45" t="n"/>
      <c r="Q10" s="45" t="inlineStr">
        <is>
          <t>No</t>
        </is>
      </c>
      <c r="R10" s="45" t="inlineStr">
        <is>
          <t>No</t>
        </is>
      </c>
      <c r="S10" s="45" t="inlineStr">
        <is>
          <t>Si</t>
        </is>
      </c>
      <c r="T10" s="45" t="n"/>
      <c r="U10" s="45" t="inlineStr">
        <is>
          <t>No</t>
        </is>
      </c>
    </row>
    <row r="12" ht="42" customHeight="1" s="354">
      <c r="A12" s="159" t="inlineStr">
        <is>
          <t>Nombre
combinación unica</t>
        </is>
      </c>
      <c r="B12" s="159" t="inlineStr">
        <is>
          <t>Descripción</t>
        </is>
      </c>
      <c r="C12" s="233" t="inlineStr">
        <is>
          <t>Atributos
involucrados</t>
        </is>
      </c>
    </row>
    <row r="13" ht="51" customHeight="1" s="354">
      <c r="A13" s="160">
        <f>'M-Cliente'!G6</f>
        <v/>
      </c>
      <c r="B13" s="160">
        <f>'M-Cliente'!G5</f>
        <v/>
      </c>
      <c r="C13" s="235">
        <f>'M-Cliente'!E6</f>
        <v/>
      </c>
      <c r="D13" s="360" t="n"/>
    </row>
    <row r="14" ht="51" customHeight="1" s="354">
      <c r="A14" s="160">
        <f>'M-Cliente'!H6</f>
        <v/>
      </c>
      <c r="B14" s="160">
        <f>'M-Cliente'!H5</f>
        <v/>
      </c>
      <c r="C14" s="160">
        <f>'M-Cliente'!B6</f>
        <v/>
      </c>
      <c r="D14" s="160">
        <f>'M-Cliente'!C6</f>
        <v/>
      </c>
    </row>
    <row r="16">
      <c r="A16" s="232" t="inlineStr">
        <is>
          <t>Responsabilidad</t>
        </is>
      </c>
      <c r="B16" s="232" t="inlineStr">
        <is>
          <t>Descripción</t>
        </is>
      </c>
      <c r="C16" s="232" t="inlineStr">
        <is>
          <t>Entradas</t>
        </is>
      </c>
      <c r="D16" s="361" t="n"/>
      <c r="E16" s="91" t="n"/>
      <c r="F16" s="232" t="inlineStr">
        <is>
          <t>Salida</t>
        </is>
      </c>
      <c r="G16" s="91" t="n"/>
      <c r="H16" s="232" t="inlineStr">
        <is>
          <t>Políticas (Reglas de Negocio)</t>
        </is>
      </c>
      <c r="I16" s="91" t="n"/>
      <c r="J16" s="232" t="inlineStr">
        <is>
          <t>Excepción</t>
        </is>
      </c>
      <c r="K16" s="91" t="n"/>
    </row>
    <row r="17">
      <c r="A17" s="362" t="n"/>
      <c r="B17" s="362" t="n"/>
      <c r="C17" s="232" t="inlineStr">
        <is>
          <t>Parámetro</t>
        </is>
      </c>
      <c r="D17" s="232" t="inlineStr">
        <is>
          <t>Tipo de dato</t>
        </is>
      </c>
      <c r="E17" s="232" t="inlineStr">
        <is>
          <t>Descripción</t>
        </is>
      </c>
      <c r="F17" s="232" t="inlineStr">
        <is>
          <t>Tipo de Dato</t>
        </is>
      </c>
      <c r="G17" s="232" t="inlineStr">
        <is>
          <t>Descripción</t>
        </is>
      </c>
      <c r="H17" s="232" t="inlineStr">
        <is>
          <t>Política</t>
        </is>
      </c>
      <c r="I17" s="232" t="inlineStr">
        <is>
          <t>Descripción</t>
        </is>
      </c>
      <c r="J17" s="232" t="inlineStr">
        <is>
          <t>Detalle</t>
        </is>
      </c>
      <c r="K17" s="232" t="inlineStr">
        <is>
          <t>¿Qué hago?</t>
        </is>
      </c>
    </row>
    <row r="18" ht="102" customHeight="1" s="354">
      <c r="A18" s="85">
        <f>'E-Cliente'!B7</f>
        <v/>
      </c>
      <c r="B18" s="85">
        <f>'E-Cliente'!C7</f>
        <v/>
      </c>
      <c r="C18" s="85" t="inlineStr">
        <is>
          <t>clienteNuevo</t>
        </is>
      </c>
      <c r="D18" s="229" t="inlineStr">
        <is>
          <t>Cliente</t>
        </is>
      </c>
      <c r="E18" s="85" t="inlineStr">
        <is>
          <t>Contiene la información del cliente que se va a registrar.</t>
        </is>
      </c>
      <c r="F18" s="85" t="inlineStr">
        <is>
          <t>Logico</t>
        </is>
      </c>
      <c r="G18" s="85" t="inlineStr">
        <is>
          <t>Retorna verdadero si el cliente se registró y guardó correctamente.</t>
        </is>
      </c>
      <c r="H18" s="85">
        <f>'E-Cliente'!G7</f>
        <v/>
      </c>
      <c r="I18" s="86">
        <f>'E-Cliente'!H7</f>
        <v/>
      </c>
      <c r="J18" s="86" t="inlineStr">
        <is>
          <t>Generar una excepción indicando que se violó la regla: el correo y el teléfono deben ser obligatorios y tener formato válido.</t>
        </is>
      </c>
      <c r="K18" s="85" t="inlineStr">
        <is>
          <t>Detener operación</t>
        </is>
      </c>
    </row>
    <row r="19" ht="102" customHeight="1" s="354">
      <c r="A19" s="363" t="n"/>
      <c r="B19" s="363" t="n"/>
      <c r="C19" s="363" t="n"/>
      <c r="D19" s="363" t="n"/>
      <c r="E19" s="363" t="n"/>
      <c r="F19" s="363" t="n"/>
      <c r="G19" s="363" t="n"/>
      <c r="H19" s="85">
        <f>'E-Cliente'!G8</f>
        <v/>
      </c>
      <c r="I19" s="86">
        <f>'E-Cliente'!H8</f>
        <v/>
      </c>
      <c r="J19" s="86" t="inlineStr">
        <is>
          <t>Generar excepción indicando que el correo ingresado ya se encuentra registrado por otro usuario.</t>
        </is>
      </c>
      <c r="K19" s="85" t="inlineStr">
        <is>
          <t>Detener operación</t>
        </is>
      </c>
    </row>
    <row r="20" ht="119.1" customHeight="1" s="354">
      <c r="A20" s="362" t="n"/>
      <c r="B20" s="362" t="n"/>
      <c r="C20" s="362" t="n"/>
      <c r="D20" s="363" t="n"/>
      <c r="E20" s="362" t="n"/>
      <c r="F20" s="362" t="n"/>
      <c r="G20" s="362" t="n"/>
      <c r="H20" s="85">
        <f>'E-Cliente'!G9</f>
        <v/>
      </c>
      <c r="I20" s="86">
        <f>'E-Cliente'!H9</f>
        <v/>
      </c>
      <c r="J20" s="86" t="inlineStr">
        <is>
          <t>Generar excepción indicando que el documento ya está registrado por otro usuario.</t>
        </is>
      </c>
      <c r="K20" s="85" t="inlineStr">
        <is>
          <t>Detener operación</t>
        </is>
      </c>
    </row>
    <row r="21" ht="92.25" customHeight="1" s="354">
      <c r="A21" s="186">
        <f>'E-Cliente'!B10</f>
        <v/>
      </c>
      <c r="B21" s="187">
        <f t="array" ref="B21">'E-Cliente'!C10:C10</f>
        <v/>
      </c>
      <c r="C21" s="186" t="inlineStr">
        <is>
          <t>clienteModificado</t>
        </is>
      </c>
      <c r="D21" s="186" t="inlineStr">
        <is>
          <t>Cliente</t>
        </is>
      </c>
      <c r="E21" s="187" t="inlineStr">
        <is>
          <t>Contiene la nueva información del cliente a actualizar.</t>
        </is>
      </c>
      <c r="F21" s="186" t="inlineStr">
        <is>
          <t>Logico</t>
        </is>
      </c>
      <c r="G21" s="187" t="inlineStr">
        <is>
          <t>Retorna verdadero si la información se actualizó con éxito en la base de datos.</t>
        </is>
      </c>
      <c r="H21" s="186">
        <f>'E-Cliente'!G10</f>
        <v/>
      </c>
      <c r="I21" s="187">
        <f>'E-Cliente'!H10</f>
        <v/>
      </c>
      <c r="J21" s="187" t="inlineStr">
        <is>
          <t>Generar excepción indicando que el cliente que se intenta modificar no existe.</t>
        </is>
      </c>
      <c r="K21" s="186" t="inlineStr">
        <is>
          <t>Detener operación</t>
        </is>
      </c>
    </row>
    <row r="22" ht="77.25" customHeight="1" s="354">
      <c r="A22" s="183">
        <f>'E-Cliente'!B11</f>
        <v/>
      </c>
      <c r="B22" s="183">
        <f>'E-Cliente'!C11</f>
        <v/>
      </c>
      <c r="C22" s="183" t="inlineStr">
        <is>
          <t>filtros</t>
        </is>
      </c>
      <c r="D22" s="183" t="inlineStr">
        <is>
          <t>Texto</t>
        </is>
      </c>
      <c r="E22" s="183" t="inlineStr">
        <is>
          <t>Parámetros opcionales para filtrar la búsqueda de clientes.</t>
        </is>
      </c>
      <c r="F22" s="183" t="inlineStr">
        <is>
          <t>Lista&lt;Cliente&gt;</t>
        </is>
      </c>
      <c r="G22" s="183" t="inlineStr">
        <is>
          <t>Retorna una colección con los objetos de los clientes encontrados.</t>
        </is>
      </c>
      <c r="H22" s="183">
        <f>'E-Cliente'!G11</f>
        <v/>
      </c>
      <c r="I22" s="183">
        <f>'E-Cliente'!H11</f>
        <v/>
      </c>
      <c r="J22" s="184" t="inlineStr">
        <is>
          <t>Generar excepción indicando acceso denegado por falta de permisos administrativos</t>
        </is>
      </c>
      <c r="K22" s="185" t="inlineStr">
        <is>
          <t>Detener operación</t>
        </is>
      </c>
    </row>
    <row r="33" ht="15.75" customHeight="1" s="354">
      <c r="F33" s="188" t="n"/>
    </row>
  </sheetData>
  <mergeCells count="18">
    <mergeCell ref="C16:E16"/>
    <mergeCell ref="B18:B20"/>
    <mergeCell ref="C12:D12"/>
    <mergeCell ref="F18:F20"/>
    <mergeCell ref="D18:D20"/>
    <mergeCell ref="H16:I16"/>
    <mergeCell ref="F16:G16"/>
    <mergeCell ref="J16:K16"/>
    <mergeCell ref="B16:B17"/>
    <mergeCell ref="A16:A17"/>
    <mergeCell ref="G1:J1"/>
    <mergeCell ref="A1:B1"/>
    <mergeCell ref="C13:D13"/>
    <mergeCell ref="D1:F1"/>
    <mergeCell ref="C18:C20"/>
    <mergeCell ref="A18:A20"/>
    <mergeCell ref="G18:G20"/>
    <mergeCell ref="E18:E20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C5" zoomScale="93" workbookViewId="0">
      <selection activeCell="H11" sqref="H11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7" bestFit="1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ListadoObjetosDominio!B3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0">
        <f>ListadoObjetosDominio!C3</f>
        <v/>
      </c>
      <c r="C3" s="361" t="n"/>
      <c r="D3" s="361" t="n"/>
      <c r="E3" s="361" t="n"/>
      <c r="F3" s="361" t="n"/>
      <c r="G3" s="361" t="n"/>
      <c r="H3" s="361" t="n"/>
      <c r="I3" s="361" t="n"/>
      <c r="J3" s="361" t="n"/>
      <c r="K3" s="91" t="n"/>
    </row>
    <row r="4" ht="32.1" customHeight="1" s="354">
      <c r="A4" s="247" t="inlineStr">
        <is>
          <t>Actor</t>
        </is>
      </c>
      <c r="B4" s="241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>
        <f>ListadoObjetosDominio!B3</f>
        <v/>
      </c>
      <c r="B7" s="266" t="inlineStr">
        <is>
          <t>Registrar información del cliente</t>
        </is>
      </c>
      <c r="C7" s="266" t="inlineStr">
        <is>
          <t>Crear una nueva cuenta de usuario en la plataforma de comercio electrónico de Imexcol para poder realizar compras.</t>
        </is>
      </c>
      <c r="D7" s="266">
        <f>ListadoObjetosDominio!B3</f>
        <v/>
      </c>
      <c r="E7" s="246" t="inlineStr">
        <is>
          <t>tipoDocumento, numeroDocumento, nombre, correo, telefono</t>
        </is>
      </c>
      <c r="F7" s="266" t="inlineStr">
        <is>
          <t>Datos mínimos obligatorios requeridos por el sistema para identificar al usuario, facturar y contactarlo.</t>
        </is>
      </c>
      <c r="G7" s="74" t="inlineStr">
        <is>
          <t>CLI-POL-01</t>
        </is>
      </c>
      <c r="H7" s="74" t="inlineStr">
        <is>
          <t>Asegurar que los datos requeridos sean válidos a nivel de tipo de dato, formato, rango, longitud y obligatoriedad.</t>
        </is>
      </c>
      <c r="I7" s="266" t="inlineStr">
        <is>
          <t>Base de datos</t>
        </is>
      </c>
      <c r="J7" s="266" t="inlineStr">
        <is>
          <t>Cliente registrado exitosamente</t>
        </is>
      </c>
      <c r="K7" s="266" t="inlineStr">
        <is>
          <t>Riesgo de que el usuario ingrese correos electrónicos temporales o falsos que reboten las facturas.</t>
        </is>
      </c>
    </row>
    <row r="8" ht="50.1" customHeight="1" s="354">
      <c r="A8" s="363" t="n"/>
      <c r="B8" s="363" t="n"/>
      <c r="C8" s="363" t="n"/>
      <c r="D8" s="363" t="n"/>
      <c r="F8" s="363" t="n"/>
      <c r="G8" s="74" t="inlineStr">
        <is>
          <t>CLI-POL-02</t>
        </is>
      </c>
      <c r="H8" s="74" t="inlineStr">
        <is>
          <t>El correo electrónico ingresado no debe existir previamente en el sistema (Combinación única 1).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F9" s="362" t="n"/>
      <c r="G9" s="74" t="inlineStr">
        <is>
          <t>CLI-POL-03</t>
        </is>
      </c>
      <c r="H9" s="74" t="inlineStr">
        <is>
          <t>La combinación de tipo de documento y número de documento no debe existir previamente en el sistema (Combinación única 2).</t>
        </is>
      </c>
      <c r="I9" s="362" t="n"/>
      <c r="J9" s="362" t="n"/>
      <c r="K9" s="362" t="n"/>
    </row>
    <row r="10" ht="50.1" customHeight="1" s="354">
      <c r="A10" s="243">
        <f>_xlfn.CONCAT(ListadoObjetosDominio!B3,"/ ",ListadoObjetosDominio!B4,)</f>
        <v/>
      </c>
      <c r="B10" s="243" t="inlineStr">
        <is>
          <t>Modificar datos del cliente</t>
        </is>
      </c>
      <c r="C10" s="243" t="inlineStr">
        <is>
          <t>Actualizar la información personal de contacto (teléfono o nombre) del usuario registrado en el sistema.</t>
        </is>
      </c>
      <c r="D10" s="243">
        <f>ListadoObjetosDominio!B3</f>
        <v/>
      </c>
      <c r="E10" s="243" t="inlineStr">
        <is>
          <t>idCliente, nombre, telefono</t>
        </is>
      </c>
      <c r="F10" s="243" t="inlineStr">
        <is>
          <t>Información editable del perfil del usuario para mantener el contacto actualizado en futuros despachos.</t>
        </is>
      </c>
      <c r="G10" s="74" t="inlineStr">
        <is>
          <t>CLI-POL-04</t>
        </is>
      </c>
      <c r="H10" s="170" t="inlineStr">
        <is>
          <t>El identificador del cliente (idCliente) proporcionado debe existir obligatoriamente en el sistema.</t>
        </is>
      </c>
      <c r="I10" s="243" t="inlineStr">
        <is>
          <t>Base de datos</t>
        </is>
      </c>
      <c r="J10" s="243" t="inlineStr">
        <is>
          <t>Datos de cliente modificados</t>
        </is>
      </c>
      <c r="K10" s="243" t="inlineStr">
        <is>
          <t>Un administrador podría cambiar por error el teléfono de un cliente justo antes de un despacho logístico.</t>
        </is>
      </c>
    </row>
    <row r="11" ht="57.75" customHeight="1" s="354">
      <c r="A11" s="265">
        <f>ListadoObjetosDominio!B4</f>
        <v/>
      </c>
      <c r="B11" s="265" t="inlineStr">
        <is>
          <t>Consultar listado de clientes</t>
        </is>
      </c>
      <c r="C11" s="266" t="inlineStr">
        <is>
          <t>Listar en el panel de control todos los usuarios registrados para gestión operativa y soporte.</t>
        </is>
      </c>
      <c r="D11" s="265">
        <f>ListadoObjetosDominio!B3</f>
        <v/>
      </c>
      <c r="E11" s="266" t="inlineStr">
        <is>
          <t>idCliente, tipoDocumento, numeroDocumento, nombre, correo, telefono</t>
        </is>
      </c>
      <c r="F11" s="266" t="inlineStr">
        <is>
          <t>Visualización tabular completa de los datos del cliente para que el administrador pueda auditar el registro.</t>
        </is>
      </c>
      <c r="G11" s="74" t="inlineStr">
        <is>
          <t>CLI-POL-05</t>
        </is>
      </c>
      <c r="H11" s="173" t="inlineStr">
        <is>
          <t>El administrador que ejecuta la acción debe tener una sesión válida y activa en el sistema.</t>
        </is>
      </c>
      <c r="I11" s="266" t="inlineStr">
        <is>
          <t>Base de datos</t>
        </is>
      </c>
      <c r="J11" s="266" t="inlineStr">
        <is>
          <t>Listado de clientes consultado</t>
        </is>
      </c>
      <c r="K11" s="266" t="inlineStr">
        <is>
          <t>Si la base de datos crece a miles de clientes, la consulta sin paginación podría saturar la memoria del servidor (TimeOut).</t>
        </is>
      </c>
    </row>
  </sheetData>
  <mergeCells count="23">
    <mergeCell ref="J7:J9"/>
    <mergeCell ref="E5:F5"/>
    <mergeCell ref="E4:F4"/>
    <mergeCell ref="C7:C9"/>
    <mergeCell ref="E7:E9"/>
    <mergeCell ref="K7:K9"/>
    <mergeCell ref="B7:B9"/>
    <mergeCell ref="B3:K3"/>
    <mergeCell ref="I5:I6"/>
    <mergeCell ref="A5:A6"/>
    <mergeCell ref="F7:F9"/>
    <mergeCell ref="G5:H5"/>
    <mergeCell ref="B2:K2"/>
    <mergeCell ref="B5:B6"/>
    <mergeCell ref="D5:D6"/>
    <mergeCell ref="G4:H4"/>
    <mergeCell ref="K5:K6"/>
    <mergeCell ref="A7:A9"/>
    <mergeCell ref="J5:J6"/>
    <mergeCell ref="I7:I9"/>
    <mergeCell ref="D7:D9"/>
    <mergeCell ref="B4:C4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topLeftCell="B1" zoomScale="69" workbookViewId="0">
      <selection activeCell="B2" sqref="B2"/>
    </sheetView>
  </sheetViews>
  <sheetFormatPr baseColWidth="8" defaultColWidth="11" defaultRowHeight="15.95"/>
  <cols>
    <col width="63.375" customWidth="1" style="354" min="1" max="1"/>
    <col width="20.125" customWidth="1" style="354" min="2" max="2"/>
    <col width="29.875" customWidth="1" style="354" min="3" max="3"/>
    <col width="59.625" customWidth="1" style="354" min="4" max="4"/>
  </cols>
  <sheetData>
    <row r="1">
      <c r="A1" s="343" t="inlineStr">
        <is>
          <t>&lt;&lt; Ir al modelo de dominio</t>
        </is>
      </c>
      <c r="C1" s="343" t="n"/>
      <c r="D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21">
        <f>ListadoObjetosDominio!B4</f>
        <v/>
      </c>
      <c r="C2" s="58" t="n"/>
      <c r="D2" s="58" t="n"/>
    </row>
    <row r="3">
      <c r="A3" s="21" t="inlineStr">
        <is>
          <t>Descripción</t>
        </is>
      </c>
      <c r="B3" s="353">
        <f>ListadoObjetosDominio!C4</f>
        <v/>
      </c>
    </row>
    <row r="4" ht="84.95" customHeight="1" s="354">
      <c r="A4" s="17" t="inlineStr">
        <is>
          <t>Identificador único universal (UUID) del administrador.</t>
        </is>
      </c>
      <c r="B4" s="17" t="inlineStr">
        <is>
          <t>Nombre de usuario único del administrador para iniciar sesión.</t>
        </is>
      </c>
      <c r="C4" s="17" t="inlineStr">
        <is>
          <t>Correo electrónico de contacto del administrador.</t>
        </is>
      </c>
      <c r="D4" s="17" t="inlineStr">
        <is>
          <t>Contraseña del administrador almacenada de forma segura.</t>
        </is>
      </c>
      <c r="E4" t="inlineStr">
        <is>
          <t>Indica si el administrador está activo (true) o inactivo (false).</t>
        </is>
      </c>
    </row>
    <row r="5">
      <c r="A5" s="22" t="inlineStr">
        <is>
          <t>id</t>
        </is>
      </c>
      <c r="B5" s="22" t="inlineStr">
        <is>
          <t>nombreUsuario</t>
        </is>
      </c>
      <c r="C5" s="22" t="inlineStr">
        <is>
          <t>correoElectronico</t>
        </is>
      </c>
      <c r="D5" s="24" t="inlineStr">
        <is>
          <t>contrasena</t>
        </is>
      </c>
      <c r="E5" t="inlineStr">
        <is>
          <t>estado</t>
        </is>
      </c>
    </row>
    <row r="6">
      <c r="A6" s="32" t="inlineStr">
        <is>
          <t>A1B2C3D4-5566-4F77-8899-AABBCCDDEE01</t>
        </is>
      </c>
      <c r="B6" s="13" t="inlineStr">
        <is>
          <t>admin.principal</t>
        </is>
      </c>
      <c r="C6" s="13" t="inlineStr">
        <is>
          <t>admin@imexcol.com</t>
        </is>
      </c>
      <c r="D6" s="20" t="inlineStr">
        <is>
          <t>********</t>
        </is>
      </c>
      <c r="E6" t="b">
        <v>1</v>
      </c>
    </row>
    <row r="7">
      <c r="A7" s="32" t="inlineStr">
        <is>
          <t>A1B2C3D4-5566-4F77-8899-AABBCCDDEE02</t>
        </is>
      </c>
      <c r="B7" s="13" t="inlineStr">
        <is>
          <t>lmartinez</t>
        </is>
      </c>
      <c r="C7" s="13" t="inlineStr">
        <is>
          <t>l.martinez@imexcol.com</t>
        </is>
      </c>
      <c r="D7" s="20" t="inlineStr">
        <is>
          <t>********</t>
        </is>
      </c>
      <c r="E7" t="b">
        <v>1</v>
      </c>
    </row>
    <row r="8">
      <c r="A8" s="32" t="inlineStr">
        <is>
          <t>A1B2C3D4-5566-4F77-8899-AABBCCDDEE03</t>
        </is>
      </c>
      <c r="B8" s="13" t="inlineStr">
        <is>
          <t>sgomez</t>
        </is>
      </c>
      <c r="C8" s="13" t="inlineStr">
        <is>
          <t>s.gomez@imexcol.com</t>
        </is>
      </c>
      <c r="D8" s="20" t="inlineStr">
        <is>
          <t>********</t>
        </is>
      </c>
      <c r="E8" t="b">
        <v>1</v>
      </c>
    </row>
    <row r="9">
      <c r="A9" s="32" t="inlineStr">
        <is>
          <t>A1B2C3D4-5566-4F77-8899-AABBCCDDEE04</t>
        </is>
      </c>
      <c r="B9" s="13" t="inlineStr">
        <is>
          <t>alopez</t>
        </is>
      </c>
      <c r="C9" s="13" t="inlineStr">
        <is>
          <t>a.lopez@imexcol.com</t>
        </is>
      </c>
      <c r="D9" s="20" t="inlineStr">
        <is>
          <t>********</t>
        </is>
      </c>
      <c r="E9" t="b">
        <v>0</v>
      </c>
    </row>
    <row r="10">
      <c r="A10" s="32" t="inlineStr">
        <is>
          <t>A1B2C3D4-5566-4F77-8899-AABBCCDDEE05</t>
        </is>
      </c>
      <c r="B10" s="13" t="inlineStr">
        <is>
          <t>mcastro</t>
        </is>
      </c>
      <c r="C10" s="13" t="inlineStr">
        <is>
          <t>m.castro@imexcol.com</t>
        </is>
      </c>
      <c r="D10" s="20" t="inlineStr">
        <is>
          <t>********</t>
        </is>
      </c>
      <c r="E10" t="b">
        <v>1</v>
      </c>
    </row>
    <row r="13">
      <c r="A13" s="228" t="inlineStr">
        <is>
          <t>Corresponde a los datos generales del objeto de dominio (nombre, descripción)</t>
        </is>
      </c>
    </row>
    <row r="14">
      <c r="A14" s="30" t="inlineStr">
        <is>
          <t>Corresponde a las descripciones de los atributos</t>
        </is>
      </c>
      <c r="B14" s="59" t="n"/>
      <c r="C14" s="59" t="n"/>
      <c r="D14" s="59" t="n"/>
    </row>
    <row r="15">
      <c r="A15" s="25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250" t="inlineStr">
        <is>
          <t>Corresponde a los datos que se generarán automáticamente (IdAdmin)</t>
        </is>
      </c>
    </row>
    <row r="18">
      <c r="A18" s="222" t="inlineStr">
        <is>
          <t>Corresponde a la combinación única 1</t>
        </is>
      </c>
    </row>
  </sheetData>
  <mergeCells count="9">
    <mergeCell ref="A17:D17"/>
    <mergeCell ref="A18:D18"/>
    <mergeCell ref="B3:D3"/>
    <mergeCell ref="A15:D15"/>
    <mergeCell ref="G1:J1"/>
    <mergeCell ref="A1:B1"/>
    <mergeCell ref="A16:D16"/>
    <mergeCell ref="D1:F1"/>
    <mergeCell ref="A13:D13"/>
  </mergeCells>
  <hyperlinks>
    <hyperlink ref="A1" location="'Modelo de dominio'!A1" display="&lt;&lt; Ir al modelo de dominio"/>
    <hyperlink ref="D1" location="ListadoObjetosDominio!A1" display="&lt;&lt; Ir al listado de objetos de dominio"/>
    <hyperlink ref="G1" location="'C-Departamento'!A1" display="&lt;&lt; Ir a la caracterización del objeto de domini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1"/>
  <sheetViews>
    <sheetView topLeftCell="A18" workbookViewId="0">
      <selection activeCell="A21" sqref="A21:K21"/>
    </sheetView>
  </sheetViews>
  <sheetFormatPr baseColWidth="8" defaultColWidth="11" defaultRowHeight="15.75"/>
  <cols>
    <col width="20.125" customWidth="1" style="354" min="1" max="1"/>
    <col width="28.375" customWidth="1" style="354" min="2" max="2"/>
    <col width="14" customWidth="1" style="354" min="3" max="3"/>
    <col width="13" customWidth="1" style="354" min="4" max="4"/>
    <col width="16" customWidth="1" style="354" min="5" max="5"/>
    <col width="12.875" customWidth="1" style="354" min="6" max="6"/>
    <col width="30" customWidth="1" style="354" min="7" max="7"/>
    <col width="17.5" bestFit="1" customWidth="1" style="354" min="9" max="9"/>
    <col width="19.625" bestFit="1" customWidth="1" style="354" min="10" max="10"/>
    <col width="23.875" bestFit="1" customWidth="1" style="354" min="13" max="13"/>
    <col width="22" customWidth="1" style="354" min="16" max="16"/>
    <col width="26.5" customWidth="1" style="354" min="17" max="17"/>
    <col width="20.5" customWidth="1" style="354" min="18" max="18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'M-Administrador'!B2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36" t="inlineStr">
        <is>
          <t>Descripción</t>
        </is>
      </c>
      <c r="B3" s="36">
        <f>'M-Administrador'!B3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</row>
    <row r="4">
      <c r="A4" s="40" t="inlineStr">
        <is>
          <t>Nombre atributo</t>
        </is>
      </c>
      <c r="B4" s="40" t="inlineStr">
        <is>
          <t>Descripción atributo</t>
        </is>
      </c>
      <c r="C4" s="40" t="inlineStr">
        <is>
          <t>Identificador del objeto de dominio</t>
        </is>
      </c>
      <c r="D4" s="40" t="inlineStr">
        <is>
          <t xml:space="preserve">Tipo de dato </t>
        </is>
      </c>
      <c r="E4" s="40" t="inlineStr">
        <is>
          <t>Obligatorio</t>
        </is>
      </c>
      <c r="F4" s="40" t="inlineStr">
        <is>
          <t xml:space="preserve"> Longitud minima(si aplica longitud maxima(si aplica)</t>
        </is>
      </c>
      <c r="G4" s="40" t="inlineStr">
        <is>
          <t xml:space="preserve"> Longitud maxima(si aplica longitud maxima(si aplica)</t>
        </is>
      </c>
      <c r="H4" s="40" t="inlineStr">
        <is>
          <t>Precisión (si aplica)</t>
        </is>
      </c>
      <c r="I4" s="40" t="inlineStr">
        <is>
          <t>Redondeo(si aplica)</t>
        </is>
      </c>
      <c r="J4" s="40" t="inlineStr">
        <is>
          <t>Rango inicial(si aplica)</t>
        </is>
      </c>
      <c r="K4" s="40" t="inlineStr">
        <is>
          <t>Rango final (si aplica)</t>
        </is>
      </c>
      <c r="L4" s="40" t="inlineStr">
        <is>
          <t>Formato(Si aplica)</t>
        </is>
      </c>
      <c r="M4" s="40" t="inlineStr">
        <is>
          <t>Reglas especiales(si aplica)</t>
        </is>
      </c>
      <c r="N4" s="40" t="inlineStr">
        <is>
          <t xml:space="preserve">Dato calculado </t>
        </is>
      </c>
      <c r="O4" s="40" t="inlineStr">
        <is>
          <t>Aplica ajuste del dato(si aplica)</t>
        </is>
      </c>
      <c r="P4" s="40" t="inlineStr">
        <is>
          <t>Carácter de ajuste(si aplica)</t>
        </is>
      </c>
      <c r="Q4" s="40" t="inlineStr">
        <is>
          <t>Quitar espacios en blanco al inicio(si aplica)</t>
        </is>
      </c>
      <c r="R4" s="40" t="inlineStr">
        <is>
          <t>Quitar espacios en blanco al fin(si aplica)</t>
        </is>
      </c>
      <c r="S4" s="40" t="inlineStr">
        <is>
          <t>Dato sensible(si aplica)</t>
        </is>
      </c>
      <c r="T4" s="40" t="inlineStr">
        <is>
          <t>Valor por defecto(si aplica)</t>
        </is>
      </c>
      <c r="U4" s="40" t="inlineStr">
        <is>
          <t>Auto generado</t>
        </is>
      </c>
    </row>
    <row r="5" ht="36" customHeight="1" s="354">
      <c r="A5" s="45">
        <f>'M-Administrador'!A5</f>
        <v/>
      </c>
      <c r="B5" s="51">
        <f>'M-Administrador'!A4</f>
        <v/>
      </c>
      <c r="C5" s="51" t="inlineStr">
        <is>
          <t>Si</t>
        </is>
      </c>
      <c r="D5" s="51" t="inlineStr">
        <is>
          <t>Numerico entero</t>
        </is>
      </c>
      <c r="E5" s="51" t="inlineStr">
        <is>
          <t>Si</t>
        </is>
      </c>
      <c r="F5" s="51" t="n"/>
      <c r="G5" s="51" t="n"/>
      <c r="H5" s="51" t="n"/>
      <c r="I5" s="51" t="n"/>
      <c r="J5" s="51" t="n">
        <v>1</v>
      </c>
      <c r="K5" s="51" t="n">
        <v>999999</v>
      </c>
      <c r="L5" s="51" t="n"/>
      <c r="M5" s="51" t="inlineStr">
        <is>
          <t>Identificador secuencial del administrador</t>
        </is>
      </c>
      <c r="N5" s="51" t="inlineStr">
        <is>
          <t>No</t>
        </is>
      </c>
      <c r="O5" s="51" t="n"/>
      <c r="P5" s="51" t="n"/>
      <c r="Q5" s="51" t="n"/>
      <c r="R5" s="51" t="n"/>
      <c r="S5" s="51" t="inlineStr">
        <is>
          <t>No</t>
        </is>
      </c>
      <c r="T5" s="51" t="n"/>
      <c r="U5" s="51" t="inlineStr">
        <is>
          <t>Si</t>
        </is>
      </c>
    </row>
    <row r="6" ht="36" customHeight="1" s="354">
      <c r="A6" s="52">
        <f>'M-Administrador'!B5</f>
        <v/>
      </c>
      <c r="B6" s="53">
        <f>'M-Administrador'!B4</f>
        <v/>
      </c>
      <c r="C6" s="53" t="inlineStr">
        <is>
          <t>No</t>
        </is>
      </c>
      <c r="D6" s="53" t="inlineStr">
        <is>
          <t>Alfanumerico</t>
        </is>
      </c>
      <c r="E6" s="53" t="inlineStr">
        <is>
          <t>Si</t>
        </is>
      </c>
      <c r="F6" s="53" t="n">
        <v>5</v>
      </c>
      <c r="G6" s="53" t="n">
        <v>30</v>
      </c>
      <c r="H6" s="53" t="n"/>
      <c r="I6" s="53" t="n"/>
      <c r="J6" s="53" t="n"/>
      <c r="K6" s="53" t="n"/>
      <c r="L6" s="53" t="inlineStr">
        <is>
          <t>Minusculas</t>
        </is>
      </c>
      <c r="M6" s="53" t="inlineStr">
        <is>
          <t>No debe contener espacios ni caracteres especiales</t>
        </is>
      </c>
      <c r="N6" s="53" t="inlineStr">
        <is>
          <t>No</t>
        </is>
      </c>
      <c r="O6" s="53" t="inlineStr">
        <is>
          <t>No</t>
        </is>
      </c>
      <c r="P6" s="53" t="n"/>
      <c r="Q6" s="53" t="inlineStr">
        <is>
          <t>Si</t>
        </is>
      </c>
      <c r="R6" s="53" t="inlineStr">
        <is>
          <t>Si</t>
        </is>
      </c>
      <c r="S6" s="53" t="inlineStr">
        <is>
          <t>No</t>
        </is>
      </c>
      <c r="T6" s="53" t="n"/>
      <c r="U6" s="53" t="inlineStr">
        <is>
          <t>No</t>
        </is>
      </c>
    </row>
    <row r="7" ht="36" customHeight="1" s="354">
      <c r="A7" s="52">
        <f>'M-Administrador'!C5</f>
        <v/>
      </c>
      <c r="B7" s="53">
        <f>'M-Administrador'!C4</f>
        <v/>
      </c>
      <c r="C7" s="53" t="inlineStr">
        <is>
          <t>No</t>
        </is>
      </c>
      <c r="D7" s="53" t="inlineStr">
        <is>
          <t>Texto</t>
        </is>
      </c>
      <c r="E7" s="53" t="inlineStr">
        <is>
          <t>Si</t>
        </is>
      </c>
      <c r="F7" s="53" t="n">
        <v>8</v>
      </c>
      <c r="G7" s="53" t="n">
        <v>255</v>
      </c>
      <c r="H7" s="53" t="n"/>
      <c r="I7" s="53" t="n"/>
      <c r="J7" s="53" t="n"/>
      <c r="K7" s="53" t="n"/>
      <c r="L7" s="53" t="n"/>
      <c r="M7" s="53" t="inlineStr">
        <is>
          <t>Debe almacenarse encriptada por seguridad del sistema</t>
        </is>
      </c>
      <c r="N7" s="53" t="inlineStr">
        <is>
          <t>No</t>
        </is>
      </c>
      <c r="O7" s="53" t="inlineStr">
        <is>
          <t>No</t>
        </is>
      </c>
      <c r="P7" s="53" t="n"/>
      <c r="Q7" s="53" t="inlineStr">
        <is>
          <t>No</t>
        </is>
      </c>
      <c r="R7" s="53" t="inlineStr">
        <is>
          <t>No</t>
        </is>
      </c>
      <c r="S7" s="53" t="inlineStr">
        <is>
          <t>Si</t>
        </is>
      </c>
      <c r="T7" s="53" t="n"/>
      <c r="U7" s="53" t="inlineStr">
        <is>
          <t>No</t>
        </is>
      </c>
    </row>
    <row r="9" ht="24" customHeight="1" s="354">
      <c r="A9" s="50" t="inlineStr">
        <is>
          <t>Nombre
combinación unica</t>
        </is>
      </c>
      <c r="B9" s="50" t="inlineStr">
        <is>
          <t>Descripción</t>
        </is>
      </c>
      <c r="C9" s="50" t="inlineStr">
        <is>
          <t>Atributos
involucrados</t>
        </is>
      </c>
    </row>
    <row r="10" ht="46.5" customHeight="1" s="354">
      <c r="A10" s="49">
        <f>'M-Administrador'!D5</f>
        <v/>
      </c>
      <c r="B10" s="49">
        <f>'M-Administrador'!D4</f>
        <v/>
      </c>
      <c r="C10" s="49">
        <f>'M-Administrador'!B5</f>
        <v/>
      </c>
    </row>
    <row r="12" ht="15.95" customFormat="1" customHeight="1" s="126">
      <c r="A12" s="255" t="inlineStr">
        <is>
          <t>Responsabilidad</t>
        </is>
      </c>
      <c r="B12" s="255" t="inlineStr">
        <is>
          <t>Descripción</t>
        </is>
      </c>
      <c r="C12" s="255" t="inlineStr">
        <is>
          <t>Entradas</t>
        </is>
      </c>
      <c r="D12" s="364" t="n"/>
      <c r="E12" s="360" t="n"/>
      <c r="F12" s="255" t="inlineStr">
        <is>
          <t>Salida</t>
        </is>
      </c>
      <c r="G12" s="360" t="n"/>
      <c r="H12" s="255" t="inlineStr">
        <is>
          <t>Políticas (Reglas de Negocio)</t>
        </is>
      </c>
      <c r="I12" s="360" t="n"/>
      <c r="J12" s="255" t="inlineStr">
        <is>
          <t xml:space="preserve">Excepción </t>
        </is>
      </c>
      <c r="K12" s="36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5.95" customFormat="1" customHeight="1" s="126">
      <c r="A13" s="365" t="n"/>
      <c r="B13" s="365" t="n"/>
      <c r="C13" s="255" t="inlineStr">
        <is>
          <t>Parámettro</t>
        </is>
      </c>
      <c r="D13" s="255" t="inlineStr">
        <is>
          <t xml:space="preserve">Tipo de dato </t>
        </is>
      </c>
      <c r="E13" s="255" t="inlineStr">
        <is>
          <t>Descripci</t>
        </is>
      </c>
      <c r="F13" s="255" t="inlineStr">
        <is>
          <t>Tipo de Dato</t>
        </is>
      </c>
      <c r="G13" s="255" t="inlineStr">
        <is>
          <t>Descripción</t>
        </is>
      </c>
      <c r="H13" s="255" t="inlineStr">
        <is>
          <t>Política</t>
        </is>
      </c>
      <c r="I13" s="255" t="inlineStr">
        <is>
          <t>Descripción</t>
        </is>
      </c>
      <c r="J13" s="255" t="inlineStr">
        <is>
          <t>Detalle</t>
        </is>
      </c>
      <c r="K13" s="255" t="inlineStr">
        <is>
          <t>¿Qué hago?</t>
        </is>
      </c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72.75" customFormat="1" customHeight="1" s="182">
      <c r="A14" s="261">
        <f>'E-Administrador'!B7</f>
        <v/>
      </c>
      <c r="B14" s="261">
        <f>'E-Administrador'!C7</f>
        <v/>
      </c>
      <c r="C14" s="256" t="inlineStr">
        <is>
          <t>adminNuevo</t>
        </is>
      </c>
      <c r="D14" s="256" t="inlineStr">
        <is>
          <t>Administrador</t>
        </is>
      </c>
      <c r="E14" s="257" t="inlineStr">
        <is>
          <t>Contiene la información del administrador que se va a registrar.</t>
        </is>
      </c>
      <c r="F14" s="258" t="inlineStr">
        <is>
          <t>Logico</t>
        </is>
      </c>
      <c r="G14" s="256" t="inlineStr">
        <is>
          <t>Retorna verdadero si el administrador se registró correctamente.</t>
        </is>
      </c>
      <c r="H14" s="256">
        <f>'E-Administrador'!G7</f>
        <v/>
      </c>
      <c r="I14" s="257">
        <f>'E-Administrador'!H7</f>
        <v/>
      </c>
      <c r="J14" s="256" t="inlineStr">
        <is>
          <t>Generar excepción indicando qué campo no cumple con el formato o es obligatorio.</t>
        </is>
      </c>
      <c r="K14" s="256" t="inlineStr">
        <is>
          <t xml:space="preserve"> Detener operación</t>
        </is>
      </c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81" t="n"/>
      <c r="U14" s="181" t="n"/>
      <c r="V14" s="181" t="n"/>
      <c r="W14" s="181" t="n"/>
      <c r="X14" s="181" t="n"/>
      <c r="Y14" s="181" t="n"/>
      <c r="Z14" s="181" t="n"/>
    </row>
    <row r="15" ht="15.75" customFormat="1" customHeight="1" s="182">
      <c r="A15" s="366" t="n"/>
      <c r="B15" s="366" t="n"/>
      <c r="C15" s="366" t="n"/>
      <c r="D15" s="366" t="n"/>
      <c r="E15" s="366" t="n"/>
      <c r="F15" s="366" t="n"/>
      <c r="G15" s="366" t="n"/>
      <c r="H15" s="256">
        <f>'E-Administrador'!G8</f>
        <v/>
      </c>
      <c r="I15" s="257">
        <f>'E-Administrador'!H8</f>
        <v/>
      </c>
      <c r="J15" s="256" t="inlineStr">
        <is>
          <t>Generar excepción indicando que el nombre de usuario ya se encuentra en uso por otro empleado.</t>
        </is>
      </c>
      <c r="K15" s="256" t="inlineStr">
        <is>
          <t>Detener operación</t>
        </is>
      </c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81" t="n"/>
      <c r="U15" s="181" t="n"/>
      <c r="V15" s="181" t="n"/>
      <c r="W15" s="181" t="n"/>
      <c r="X15" s="181" t="n"/>
      <c r="Y15" s="181" t="n"/>
      <c r="Z15" s="181" t="n"/>
    </row>
    <row r="16" ht="58.5" customFormat="1" customHeight="1" s="182">
      <c r="A16" s="365" t="n"/>
      <c r="B16" s="365" t="n"/>
      <c r="C16" s="365" t="n"/>
      <c r="D16" s="365" t="n"/>
      <c r="E16" s="365" t="n"/>
      <c r="F16" s="365" t="n"/>
      <c r="G16" s="365" t="n"/>
      <c r="H16" s="365" t="n"/>
      <c r="I16" s="365" t="n"/>
      <c r="J16" s="365" t="n"/>
      <c r="K16" s="365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81" t="n"/>
      <c r="U16" s="181" t="n"/>
      <c r="V16" s="181" t="n"/>
      <c r="W16" s="181" t="n"/>
      <c r="X16" s="181" t="n"/>
      <c r="Y16" s="181" t="n"/>
      <c r="Z16" s="181" t="n"/>
    </row>
    <row r="17" ht="77.25" customFormat="1" customHeight="1" s="182">
      <c r="A17" s="346">
        <f>'E-Administrador'!B9</f>
        <v/>
      </c>
      <c r="B17" s="346">
        <f>'E-Administrador'!C9</f>
        <v/>
      </c>
      <c r="C17" s="346" t="inlineStr">
        <is>
          <t>adminModificado</t>
        </is>
      </c>
      <c r="D17" s="346" t="inlineStr">
        <is>
          <t>Administrador</t>
        </is>
      </c>
      <c r="E17" s="346" t="inlineStr">
        <is>
          <t>Contiene el identificador y la nueva credencial a actualizar.</t>
        </is>
      </c>
      <c r="F17" s="346" t="inlineStr">
        <is>
          <t>Logico</t>
        </is>
      </c>
      <c r="G17" s="346" t="inlineStr">
        <is>
          <t>Retorna verdadero si la contraseña se actualizó con éxito en la base de datos.</t>
        </is>
      </c>
      <c r="H17" s="346">
        <f>'E-Administrador'!G9</f>
        <v/>
      </c>
      <c r="I17" s="346">
        <f>'E-Administrador'!H9</f>
        <v/>
      </c>
      <c r="J17" s="346" t="inlineStr">
        <is>
          <t>Generar excepción indicando que el administrador que se intenta modificar no existe.</t>
        </is>
      </c>
      <c r="K17" s="346" t="inlineStr">
        <is>
          <t>Detener operación</t>
        </is>
      </c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</row>
    <row r="18" ht="72.75" customFormat="1" customHeight="1" s="182">
      <c r="A18" s="260">
        <f>'E-Administrador'!B10</f>
        <v/>
      </c>
      <c r="B18" s="260">
        <f>'E-Administrador'!C10</f>
        <v/>
      </c>
      <c r="C18" s="259" t="inlineStr">
        <is>
          <t>idAdmin</t>
        </is>
      </c>
      <c r="D18" s="259" t="inlineStr">
        <is>
          <t>alfanumerico</t>
        </is>
      </c>
      <c r="E18" s="259" t="inlineStr">
        <is>
          <t>Identificador exacto del administrador al que se le retirarán los privilegios.</t>
        </is>
      </c>
      <c r="F18" s="259" t="inlineStr">
        <is>
          <t>Logico</t>
        </is>
      </c>
      <c r="G18" s="259" t="inlineStr">
        <is>
          <t>Retorna verdadero si el administrador fue eliminado correctamente.</t>
        </is>
      </c>
      <c r="H18" s="259">
        <f>'E-Administrador'!G10</f>
        <v/>
      </c>
      <c r="I18" s="259">
        <f>'E-Administrador'!H10</f>
        <v/>
      </c>
      <c r="J18" s="259" t="inlineStr">
        <is>
          <t>Generar excepción indicando que el administrador a eliminar no se encuentra registrado.</t>
        </is>
      </c>
      <c r="K18" s="259" t="inlineStr">
        <is>
          <t>Detener operación</t>
        </is>
      </c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81" t="n"/>
      <c r="U18" s="181" t="n"/>
      <c r="V18" s="181" t="n"/>
      <c r="W18" s="181" t="n"/>
      <c r="X18" s="181" t="n"/>
      <c r="Y18" s="181" t="n"/>
      <c r="Z18" s="181" t="n"/>
    </row>
    <row r="19" ht="101.25" customFormat="1" customHeight="1" s="182">
      <c r="A19" s="365" t="n"/>
      <c r="B19" s="365" t="n"/>
      <c r="C19" s="365" t="n"/>
      <c r="D19" s="365" t="n"/>
      <c r="E19" s="365" t="n"/>
      <c r="F19" s="365" t="n"/>
      <c r="G19" s="365" t="n"/>
      <c r="H19" s="259">
        <f>'E-Administrador'!G11</f>
        <v/>
      </c>
      <c r="I19" s="259">
        <f>'E-Administrador'!H11</f>
        <v/>
      </c>
      <c r="J19" s="259" t="inlineStr">
        <is>
          <t>Generar excepción indicando que no se puede eliminar al último administrador del sistema.</t>
        </is>
      </c>
      <c r="K19" s="259" t="inlineStr">
        <is>
          <t>Detener operación</t>
        </is>
      </c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81" t="n"/>
      <c r="U19" s="181" t="n"/>
      <c r="V19" s="181" t="n"/>
      <c r="W19" s="181" t="n"/>
      <c r="X19" s="181" t="n"/>
      <c r="Y19" s="181" t="n"/>
      <c r="Z19" s="181" t="n"/>
    </row>
    <row r="20" ht="72.75" customFormat="1" customHeight="1" s="182">
      <c r="A20" s="201">
        <f>'E-Administrador'!B12</f>
        <v/>
      </c>
      <c r="B20" s="201">
        <f>'E-Administrador'!C12</f>
        <v/>
      </c>
      <c r="C20" s="196" t="inlineStr">
        <is>
          <t>credenciales</t>
        </is>
      </c>
      <c r="D20" s="191" t="inlineStr">
        <is>
          <t xml:space="preserve">Administrador </t>
        </is>
      </c>
      <c r="E20" s="191" t="inlineStr">
        <is>
          <t>Contiene el usuario y la contraseña que el empleado intenta validar.</t>
        </is>
      </c>
      <c r="F20" s="191" t="inlineStr">
        <is>
          <t>Logico</t>
        </is>
      </c>
      <c r="G20" s="192" t="inlineStr">
        <is>
          <t>Retorna verdadero si la autenticación fue exitosa.</t>
        </is>
      </c>
      <c r="H20" s="191">
        <f>'E-Administrador'!G12</f>
        <v/>
      </c>
      <c r="I20" s="191">
        <f>'E-Administrador'!H12</f>
        <v/>
      </c>
      <c r="J20" s="193" t="inlineStr">
        <is>
          <t>Generar excepción indicando que el nombre de usuario o la contraseña son incorrectos.</t>
        </is>
      </c>
      <c r="K20" s="193" t="inlineStr">
        <is>
          <t>Detener operación</t>
        </is>
      </c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81" t="n"/>
      <c r="U20" s="181" t="n"/>
      <c r="V20" s="181" t="n"/>
      <c r="W20" s="181" t="n"/>
      <c r="X20" s="181" t="n"/>
      <c r="Y20" s="181" t="n"/>
      <c r="Z20" s="181" t="n"/>
    </row>
    <row r="21" ht="72.75" customFormat="1" customHeight="1" s="182">
      <c r="A21" s="202">
        <f>'E-Administrador'!B13</f>
        <v/>
      </c>
      <c r="B21" s="202">
        <f>'E-Administrador'!C13</f>
        <v/>
      </c>
      <c r="C21" s="199" t="inlineStr">
        <is>
          <t>filtros</t>
        </is>
      </c>
      <c r="D21" s="199" t="inlineStr">
        <is>
          <t>Texto</t>
        </is>
      </c>
      <c r="E21" s="199" t="inlineStr">
        <is>
          <t>Parámetros opcionales para filtrar la búsqueda de empleados.</t>
        </is>
      </c>
      <c r="F21" s="199" t="inlineStr">
        <is>
          <t>Lista&lt;Administrador&gt;</t>
        </is>
      </c>
      <c r="G21" s="199" t="inlineStr">
        <is>
          <t>Retorna una colección con los objetos de los administradores encontrados.</t>
        </is>
      </c>
      <c r="H21" s="199">
        <f>'E-Administrador'!G13</f>
        <v/>
      </c>
      <c r="I21" s="199">
        <f>'E-Administrador'!H13</f>
        <v/>
      </c>
      <c r="J21" s="199" t="inlineStr">
        <is>
          <t>Generar excepción indicando acceso denegado por sesión inactiva o falta de permisos.</t>
        </is>
      </c>
      <c r="K21" s="199" t="inlineStr">
        <is>
          <t>Detener operación</t>
        </is>
      </c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81" t="n"/>
      <c r="U21" s="181" t="n"/>
      <c r="V21" s="181" t="n"/>
      <c r="W21" s="181" t="n"/>
      <c r="X21" s="181" t="n"/>
      <c r="Y21" s="181" t="n"/>
      <c r="Z21" s="181" t="n"/>
    </row>
  </sheetData>
  <mergeCells count="27">
    <mergeCell ref="B12:B13"/>
    <mergeCell ref="B18:B19"/>
    <mergeCell ref="G14:G16"/>
    <mergeCell ref="G1:J1"/>
    <mergeCell ref="J15:J16"/>
    <mergeCell ref="A1:B1"/>
    <mergeCell ref="A14:A16"/>
    <mergeCell ref="C12:E12"/>
    <mergeCell ref="D14:D16"/>
    <mergeCell ref="F18:F19"/>
    <mergeCell ref="F14:F16"/>
    <mergeCell ref="F12:G12"/>
    <mergeCell ref="A12:A13"/>
    <mergeCell ref="A18:A19"/>
    <mergeCell ref="G18:G19"/>
    <mergeCell ref="D18:D19"/>
    <mergeCell ref="C14:C16"/>
    <mergeCell ref="E14:E16"/>
    <mergeCell ref="H15:H16"/>
    <mergeCell ref="D1:F1"/>
    <mergeCell ref="H12:I12"/>
    <mergeCell ref="J12:K12"/>
    <mergeCell ref="E18:E19"/>
    <mergeCell ref="B14:B16"/>
    <mergeCell ref="I15:I16"/>
    <mergeCell ref="K15:K16"/>
    <mergeCell ref="C18:C19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A17" location="RANGE!W4" display="Eliminar de forma definitiva la información de un nuevo País"/>
    <hyperlink ref="A18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topLeftCell="A8" zoomScale="125" workbookViewId="0">
      <selection activeCell="C7" sqref="C7:C8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46.875" bestFit="1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ListadoObjetosDominio!B4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0">
        <f>ListadoObjetosDominio!C4</f>
        <v/>
      </c>
      <c r="C3" s="361" t="n"/>
      <c r="D3" s="361" t="n"/>
      <c r="E3" s="361" t="n"/>
      <c r="F3" s="361" t="n"/>
      <c r="G3" s="361" t="n"/>
      <c r="H3" s="361" t="n"/>
      <c r="I3" s="361" t="n"/>
      <c r="J3" s="361" t="n"/>
      <c r="K3" s="91" t="n"/>
    </row>
    <row r="4" ht="32.1" customHeight="1" s="354">
      <c r="A4" s="247" t="inlineStr">
        <is>
          <t>Actor</t>
        </is>
      </c>
      <c r="B4" s="241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1" t="inlineStr">
        <is>
          <t>Acción</t>
        </is>
      </c>
      <c r="C5" s="241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>
        <f>ListadoObjetosDominio!B4</f>
        <v/>
      </c>
      <c r="B7" s="266" t="inlineStr">
        <is>
          <t>Registrar nuevo administrador</t>
        </is>
      </c>
      <c r="C7" s="266" t="inlineStr">
        <is>
          <t>Crear un nuevo usuario con credenciales para que un empleado pueda ingresar al panel de control de Imexcol.</t>
        </is>
      </c>
      <c r="D7" s="367">
        <f>ListadoObjetosDominio!B4</f>
        <v/>
      </c>
      <c r="E7" s="266" t="inlineStr">
        <is>
          <t>usuario, password</t>
        </is>
      </c>
      <c r="F7" s="266" t="inlineStr">
        <is>
          <t>Credenciales de acceso requeridas para autenticar al nuevo empleado en el sistema.</t>
        </is>
      </c>
      <c r="G7" s="74" t="inlineStr">
        <is>
          <t>ADM-POL-01</t>
        </is>
      </c>
      <c r="H7" s="74" t="inlineStr">
        <is>
          <t>Asegurar que los datos requeridos sean válidos a nivel de tipo de dato, formato, rango, longitud y obligatoriedad</t>
        </is>
      </c>
      <c r="I7" s="266" t="inlineStr">
        <is>
          <t>Base de datos</t>
        </is>
      </c>
      <c r="J7" s="266" t="inlineStr">
        <is>
          <t>Administrador registrado</t>
        </is>
      </c>
      <c r="K7" s="266" t="inlineStr">
        <is>
          <t>Riesgo de que la contraseña asignada inicialmente sea muy débil o predecible (ej. 12345678).</t>
        </is>
      </c>
    </row>
    <row r="8" ht="50.1" customHeight="1" s="354">
      <c r="A8" s="362" t="n"/>
      <c r="B8" s="362" t="n"/>
      <c r="C8" s="362" t="n"/>
      <c r="D8" s="362" t="n"/>
      <c r="E8" s="362" t="n"/>
      <c r="F8" s="362" t="n"/>
      <c r="G8" s="74" t="inlineStr">
        <is>
          <t>ADM-POL-02</t>
        </is>
      </c>
      <c r="H8" s="74" t="inlineStr">
        <is>
          <t>El nombre de usuario ingresado no debe existir previamente en el sistema (Combinación única 1).</t>
        </is>
      </c>
      <c r="I8" s="362" t="n"/>
      <c r="J8" s="362" t="n"/>
      <c r="K8" s="362" t="n"/>
    </row>
    <row r="9" ht="50.1" customHeight="1" s="354">
      <c r="A9" s="74">
        <f>ListadoObjetosDominio!B4</f>
        <v/>
      </c>
      <c r="B9" s="266" t="inlineStr">
        <is>
          <t>Modificar contraseña</t>
        </is>
      </c>
      <c r="C9" s="74" t="inlineStr">
        <is>
          <t>Actualizar la clave de acceso de un administrador existente por motivos de seguridad o bloqueo.</t>
        </is>
      </c>
      <c r="D9" s="168">
        <f>ListadoObjetosDominio!B4</f>
        <v/>
      </c>
      <c r="E9" s="266" t="inlineStr">
        <is>
          <t>idAdmin, password</t>
        </is>
      </c>
      <c r="F9" s="74" t="inlineStr">
        <is>
          <t>Identificador del empleado y la nueva credencial de seguridad a actualizar.</t>
        </is>
      </c>
      <c r="G9" s="74" t="inlineStr">
        <is>
          <t>ADM-POL-03</t>
        </is>
      </c>
      <c r="H9" s="74" t="inlineStr">
        <is>
          <t>El idAdmin proporcionado debe existir obligatoriamente en el sistema.</t>
        </is>
      </c>
      <c r="I9" s="266" t="inlineStr">
        <is>
          <t>Base de datos</t>
        </is>
      </c>
      <c r="J9" s="74" t="inlineStr">
        <is>
          <t>Contraseña de administrador modificada</t>
        </is>
      </c>
      <c r="K9" s="266" t="inlineStr">
        <is>
          <t>Contraseña de administrador modificada	Si un administrador cambia la contraseña de otro sin autorización, podría generar un bloqueo operativo en la tienda.</t>
        </is>
      </c>
    </row>
    <row r="10" ht="29.25" customHeight="1" s="354">
      <c r="A10" s="265">
        <f>ListadoObjetosDominio!B4</f>
        <v/>
      </c>
      <c r="B10" s="265" t="inlineStr">
        <is>
          <t>Eliminar administrador</t>
        </is>
      </c>
      <c r="C10" s="266" t="inlineStr">
        <is>
          <t>Revocar el acceso de un empleado al sistema eliminando su registro de la base de datos</t>
        </is>
      </c>
      <c r="D10" s="268">
        <f>ListadoObjetosDominio!B4</f>
        <v/>
      </c>
      <c r="E10" s="265" t="inlineStr">
        <is>
          <t>idAdmin</t>
        </is>
      </c>
      <c r="F10" s="267" t="inlineStr">
        <is>
          <t>Identificador exacto del empleado al que se le retirarán los privilegios de acceso.</t>
        </is>
      </c>
      <c r="G10" s="350" t="inlineStr">
        <is>
          <t>ADM-POL-04</t>
        </is>
      </c>
      <c r="H10" s="173" t="inlineStr">
        <is>
          <t>El idAdmin a eliminar debe existir previamente en la base de datos.</t>
        </is>
      </c>
      <c r="I10" s="265" t="inlineStr">
        <is>
          <t>Base de datos</t>
        </is>
      </c>
      <c r="J10" s="265" t="inlineStr">
        <is>
          <t>Administrador eliminado</t>
        </is>
      </c>
      <c r="K10" s="266" t="inlineStr">
        <is>
          <t>Riesgo de que el último o único administrador del sistema sea eliminado, bloqueando el acceso total a la plataforma.</t>
        </is>
      </c>
    </row>
    <row r="11" ht="43.5" customHeight="1" s="354">
      <c r="A11" s="362" t="n"/>
      <c r="B11" s="362" t="n"/>
      <c r="C11" s="362" t="n"/>
      <c r="D11" s="362" t="n"/>
      <c r="E11" s="362" t="n"/>
      <c r="F11" s="362" t="n"/>
      <c r="G11" s="350" t="inlineStr">
        <is>
          <t>ADM-POL-05</t>
        </is>
      </c>
      <c r="H11" s="173" t="inlineStr">
        <is>
          <t>El sistema debe impedir la eliminación si el usuario a borrar es el único administrador restante en la base de datos.</t>
        </is>
      </c>
      <c r="I11" s="362" t="n"/>
      <c r="J11" s="362" t="n"/>
      <c r="K11" s="362" t="n"/>
    </row>
    <row r="12" ht="43.5" customHeight="1" s="354">
      <c r="A12" s="265">
        <f>ListadoObjetosDominio!B4</f>
        <v/>
      </c>
      <c r="B12" s="265" t="inlineStr">
        <is>
          <t>Iniciar sesión (Autenticar)</t>
        </is>
      </c>
      <c r="C12" s="266" t="inlineStr">
        <is>
          <t>Validar las credenciales del empleado para otorgarle acceso seguro al panel de control del e-commerce</t>
        </is>
      </c>
      <c r="D12" s="268">
        <f>ListadoObjetosDominio!B4</f>
        <v/>
      </c>
      <c r="E12" s="265" t="inlineStr">
        <is>
          <t>usuario, password</t>
        </is>
      </c>
      <c r="F12" s="266" t="inlineStr">
        <is>
          <t>Formulario de login donde el empleado ingresa sus credenciales de acceso.</t>
        </is>
      </c>
      <c r="G12" s="174" t="inlineStr">
        <is>
          <t>ADM-POL-06</t>
        </is>
      </c>
      <c r="H12" s="171" t="inlineStr">
        <is>
          <t>El usuario y la contraseña ingresados deben coincidir exactamente con un registro existente en la base de datos.</t>
        </is>
      </c>
      <c r="I12" s="265" t="inlineStr">
        <is>
          <t>Sistema Auth</t>
        </is>
      </c>
      <c r="J12" s="266" t="inlineStr">
        <is>
          <t>Sesión de administrador iniciada</t>
        </is>
      </c>
      <c r="K12" s="266" t="inlineStr">
        <is>
          <t>Riesgo de ataques de fuerza bruta (intentar adivinar la clave repetidamente). ¿Se debería bloquear el usuario tras 3 intentos fallidos?</t>
        </is>
      </c>
    </row>
    <row r="13" ht="43.5" customHeight="1" s="354">
      <c r="A13" s="265">
        <f>ListadoObjetosDominio!B4</f>
        <v/>
      </c>
      <c r="B13" s="174" t="inlineStr">
        <is>
          <t>Consultar administradores</t>
        </is>
      </c>
      <c r="C13" s="171" t="inlineStr">
        <is>
          <t>Listar todos los empleados que actualmente tienen acceso al panel administrativo del e-commerce.</t>
        </is>
      </c>
      <c r="D13" s="268">
        <f>ListadoObjetosDominio!B4</f>
        <v/>
      </c>
      <c r="E13" s="265" t="inlineStr">
        <is>
          <t>idAdmin, usuario</t>
        </is>
      </c>
      <c r="F13" s="266" t="inlineStr">
        <is>
          <t>Vista de auditoría para revisar quiénes tienen credenciales activas en el sistema.</t>
        </is>
      </c>
      <c r="G13" s="265" t="inlineStr">
        <is>
          <t>ADM-POL-07</t>
        </is>
      </c>
      <c r="H13" s="171" t="inlineStr">
        <is>
          <t>El administrador que ejecuta la consulta debe contar con una sesión activa en el sistema.</t>
        </is>
      </c>
      <c r="I13" s="174" t="inlineStr">
        <is>
          <t>Base de datos</t>
        </is>
      </c>
      <c r="J13" s="266" t="inlineStr">
        <is>
          <t>Listado de administradores consultado</t>
        </is>
      </c>
      <c r="K13" s="266" t="inlineStr">
        <is>
          <t>Exposición de nombres de usuario a empleados que no deberían tener permisos de auditoría de personal.</t>
        </is>
      </c>
    </row>
  </sheetData>
  <mergeCells count="32">
    <mergeCell ref="A7:A8"/>
    <mergeCell ref="E5:F5"/>
    <mergeCell ref="I7:I8"/>
    <mergeCell ref="C10:C11"/>
    <mergeCell ref="E10:E11"/>
    <mergeCell ref="E4:F4"/>
    <mergeCell ref="D7:D8"/>
    <mergeCell ref="B10:B11"/>
    <mergeCell ref="J7:J8"/>
    <mergeCell ref="B3:K3"/>
    <mergeCell ref="I5:I6"/>
    <mergeCell ref="A5:A6"/>
    <mergeCell ref="C7:C8"/>
    <mergeCell ref="G5:H5"/>
    <mergeCell ref="E7:E8"/>
    <mergeCell ref="K7:K8"/>
    <mergeCell ref="B2:K2"/>
    <mergeCell ref="A10:A11"/>
    <mergeCell ref="I10:I11"/>
    <mergeCell ref="B5:B6"/>
    <mergeCell ref="K10:K11"/>
    <mergeCell ref="D5:D6"/>
    <mergeCell ref="G4:H4"/>
    <mergeCell ref="K5:K6"/>
    <mergeCell ref="D10:D11"/>
    <mergeCell ref="J5:J6"/>
    <mergeCell ref="J10:J11"/>
    <mergeCell ref="B7:B8"/>
    <mergeCell ref="F7:F8"/>
    <mergeCell ref="F10:F11"/>
    <mergeCell ref="B4:C4"/>
    <mergeCell ref="C5:C6"/>
  </mergeCells>
  <hyperlinks>
    <hyperlink ref="D7" location="ListadoObjetosDominio!B2" display="ListadoObjetosDominio!B2"/>
    <hyperlink ref="D9" location="ListadoObjetosDominio!B2" display="ListadoObjetosDominio!B2"/>
    <hyperlink ref="D10" location="ListadoObjetosDominio!B4" display="ListadoObjetosDominio!B4"/>
    <hyperlink ref="D12" location="ListadoObjetosDominio!B4" display="ListadoObjetosDominio!B4"/>
    <hyperlink ref="D13" location="ListadoObjetosDominio!B4" display="ListadoObjetosDominio!B4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G6" sqref="G6:H6"/>
    </sheetView>
  </sheetViews>
  <sheetFormatPr baseColWidth="8" defaultColWidth="11" defaultRowHeight="15.95"/>
  <cols>
    <col width="14" customWidth="1" style="354" min="3" max="3"/>
    <col width="11.375" customWidth="1" style="354" min="4" max="4"/>
    <col width="16.375" bestFit="1" customWidth="1" style="354" min="5" max="5"/>
    <col width="33.375" bestFit="1" customWidth="1" style="354" min="6" max="6"/>
    <col width="13" customWidth="1" style="354" min="7" max="7"/>
    <col width="39.625" customWidth="1" style="354" min="8" max="8"/>
    <col width="56.625" customWidth="1" style="354" min="9" max="9"/>
  </cols>
  <sheetData>
    <row r="1" ht="17.1" customHeight="1" s="354">
      <c r="A1" s="343" t="inlineStr">
        <is>
          <t>&lt;&lt; Ir al modelo de dominio</t>
        </is>
      </c>
      <c r="H1" s="343" t="n"/>
      <c r="I1" s="335" t="inlineStr">
        <is>
          <t>&lt;&lt; Ir al listado de objetos de dominio</t>
        </is>
      </c>
      <c r="L1" s="343" t="inlineStr">
        <is>
          <t>&lt;&lt; Ir a la caracterización del objeto de dominio</t>
        </is>
      </c>
    </row>
    <row r="2">
      <c r="A2" s="118" t="inlineStr">
        <is>
          <t>Nombre:</t>
        </is>
      </c>
      <c r="B2" s="273">
        <f>ListadoObjetosDominio!B5</f>
        <v/>
      </c>
      <c r="I2" s="120" t="n"/>
      <c r="J2" s="121" t="n"/>
      <c r="K2" s="121" t="n"/>
    </row>
    <row r="3">
      <c r="A3" s="118" t="inlineStr">
        <is>
          <t>Descripción:</t>
        </is>
      </c>
      <c r="B3" s="120">
        <f>ListadoObjetosDominio!C5</f>
        <v/>
      </c>
      <c r="C3" s="120" t="n"/>
      <c r="D3" s="120" t="n"/>
      <c r="E3" s="120" t="n"/>
      <c r="F3" s="120" t="n"/>
      <c r="G3" s="120" t="n"/>
      <c r="H3" s="120" t="n"/>
      <c r="I3" s="120" t="n"/>
      <c r="J3" s="121" t="n"/>
      <c r="K3" s="121" t="n"/>
    </row>
    <row r="4" ht="44.1" customHeight="1" s="354">
      <c r="A4" s="8" t="inlineStr">
        <is>
          <t>Identificador único universal (UUID) de la dirección.</t>
        </is>
      </c>
      <c r="B4" s="119" t="inlineStr">
        <is>
          <t>Referencia al cliente al que pertenece esta dirección.</t>
        </is>
      </c>
      <c r="C4" s="119" t="inlineStr">
        <is>
          <t>Nomenclatura exacta de la dirección (calle, carrera, número).</t>
        </is>
      </c>
      <c r="D4" s="119" t="inlineStr">
        <is>
          <t>Ciudad o municipio donde se ubica la dirección.</t>
        </is>
      </c>
      <c r="E4" s="119" t="inlineStr">
        <is>
          <t>Departamento o estado donde se ubica la dirección.</t>
        </is>
      </c>
      <c r="F4" s="119" t="inlineStr">
        <is>
          <t>País donde se ubica la dirección.</t>
        </is>
      </c>
      <c r="G4" s="274" t="inlineStr">
        <is>
          <t>Código postal de la dirección (opcional).</t>
        </is>
      </c>
      <c r="H4" t="inlineStr">
        <is>
          <t>Indica si esta es la dirección principal del cliente (true/false).</t>
        </is>
      </c>
    </row>
    <row r="5">
      <c r="A5" s="9" t="inlineStr">
        <is>
          <t>id</t>
        </is>
      </c>
      <c r="B5" s="9" t="inlineStr">
        <is>
          <t>cliente</t>
        </is>
      </c>
      <c r="C5" s="9" t="inlineStr">
        <is>
          <t>calle</t>
        </is>
      </c>
      <c r="D5" s="9" t="inlineStr">
        <is>
          <t>ciudad</t>
        </is>
      </c>
      <c r="E5" s="9" t="inlineStr">
        <is>
          <t>departamento</t>
        </is>
      </c>
      <c r="F5" s="9" t="inlineStr">
        <is>
          <t>pais</t>
        </is>
      </c>
      <c r="G5" s="276" t="inlineStr">
        <is>
          <t>codigoPostal</t>
        </is>
      </c>
      <c r="H5" t="inlineStr">
        <is>
          <t>esPrincipal</t>
        </is>
      </c>
    </row>
    <row r="6">
      <c r="A6" s="127" t="inlineStr">
        <is>
          <t>D1234567-8901-4234-5678-90123456D001</t>
        </is>
      </c>
      <c r="B6" s="128" t="inlineStr">
        <is>
          <t>3F2504E0-4F89-11D3-9A0C-0305E82C3301</t>
        </is>
      </c>
      <c r="C6" s="122" t="inlineStr">
        <is>
          <t>Calle 10 # 43-20</t>
        </is>
      </c>
      <c r="D6" s="122" t="inlineStr">
        <is>
          <t>Medellín</t>
        </is>
      </c>
      <c r="E6" s="122" t="inlineStr">
        <is>
          <t>Antioquia</t>
        </is>
      </c>
      <c r="F6" s="122" t="inlineStr">
        <is>
          <t>Colombia</t>
        </is>
      </c>
      <c r="G6" s="272" t="inlineStr">
        <is>
          <t>050021</t>
        </is>
      </c>
      <c r="H6" t="b">
        <v>1</v>
      </c>
    </row>
    <row r="7" ht="17.1" customHeight="1" s="354">
      <c r="A7" s="127" t="inlineStr">
        <is>
          <t>D1234567-8901-4234-5678-90123456D002</t>
        </is>
      </c>
      <c r="B7" s="128" t="inlineStr">
        <is>
          <t>3F2504E0-4F89-11D3-9A0C-0305E82C3302</t>
        </is>
      </c>
      <c r="C7" s="122" t="inlineStr">
        <is>
          <t>Carrera 48 # 32-15</t>
        </is>
      </c>
      <c r="D7" s="122" t="inlineStr">
        <is>
          <t>Envigado</t>
        </is>
      </c>
      <c r="E7" s="122" t="inlineStr">
        <is>
          <t>Antioquia</t>
        </is>
      </c>
      <c r="F7" s="123" t="inlineStr">
        <is>
          <t>Colombia</t>
        </is>
      </c>
      <c r="G7" s="272" t="inlineStr">
        <is>
          <t>055422</t>
        </is>
      </c>
      <c r="H7" t="b">
        <v>0</v>
      </c>
    </row>
    <row r="8">
      <c r="A8" s="127" t="inlineStr">
        <is>
          <t>D1234567-8901-4234-5678-90123456D003</t>
        </is>
      </c>
      <c r="B8" s="128" t="inlineStr">
        <is>
          <t>3F2504E0-4F89-11D3-9A0C-0305E82C3303</t>
        </is>
      </c>
      <c r="C8" s="122" t="inlineStr">
        <is>
          <t>Carrera 15 # 85-30</t>
        </is>
      </c>
      <c r="D8" s="122" t="inlineStr">
        <is>
          <t>Bogotá</t>
        </is>
      </c>
      <c r="E8" s="122" t="inlineStr">
        <is>
          <t>Cundinamarca</t>
        </is>
      </c>
      <c r="F8" s="122" t="inlineStr">
        <is>
          <t>Colombia</t>
        </is>
      </c>
      <c r="G8" s="272" t="inlineStr">
        <is>
          <t>110221</t>
        </is>
      </c>
      <c r="H8" t="b">
        <v>1</v>
      </c>
    </row>
    <row r="9">
      <c r="A9" s="127" t="inlineStr">
        <is>
          <t>D1234567-8901-4234-5678-90123456D004</t>
        </is>
      </c>
      <c r="B9" s="128" t="inlineStr">
        <is>
          <t>3F2504E0-4F89-11D3-9A0C-0305E82C3304</t>
        </is>
      </c>
      <c r="C9" s="122" t="inlineStr">
        <is>
          <t>Avenida 6N # 24-10</t>
        </is>
      </c>
      <c r="D9" s="122" t="inlineStr">
        <is>
          <t>Cali</t>
        </is>
      </c>
      <c r="E9" s="122" t="inlineStr">
        <is>
          <t>Valle del Cauca</t>
        </is>
      </c>
      <c r="F9" s="122" t="inlineStr">
        <is>
          <t>Colombia</t>
        </is>
      </c>
      <c r="G9" s="272" t="inlineStr">
        <is>
          <t>760045</t>
        </is>
      </c>
      <c r="H9" t="b">
        <v>1</v>
      </c>
    </row>
    <row r="10">
      <c r="A10" s="127" t="inlineStr">
        <is>
          <t>D1234567-8901-4234-5678-90123456D005</t>
        </is>
      </c>
      <c r="B10" s="128" t="inlineStr">
        <is>
          <t>3F2504E0-4F89-11D3-9A0C-0305E82C3305</t>
        </is>
      </c>
      <c r="C10" s="122" t="inlineStr">
        <is>
          <t>Calle 84 # 51B-20</t>
        </is>
      </c>
      <c r="D10" s="122" t="inlineStr">
        <is>
          <t>Barranquilla</t>
        </is>
      </c>
      <c r="E10" s="122" t="inlineStr">
        <is>
          <t>Atlántico</t>
        </is>
      </c>
      <c r="F10" s="122" t="inlineStr">
        <is>
          <t>Colombia</t>
        </is>
      </c>
      <c r="G10" s="272" t="inlineStr">
        <is>
          <t>080020</t>
        </is>
      </c>
      <c r="H10" t="b">
        <v>0</v>
      </c>
    </row>
    <row r="13">
      <c r="A13" s="124" t="inlineStr">
        <is>
          <t>Corresponde a los datos generales del objeto de dominio (nombre, descripción)</t>
        </is>
      </c>
      <c r="B13" s="124" t="n"/>
      <c r="C13" s="124" t="n"/>
      <c r="D13" s="124" t="n"/>
      <c r="E13" s="124" t="n"/>
      <c r="F13" s="124" t="n"/>
      <c r="G13" s="124" t="n"/>
      <c r="H13" s="124" t="n"/>
    </row>
    <row r="14">
      <c r="A14" s="269" t="inlineStr">
        <is>
          <t>Corresponde a las descripciones de los atributos</t>
        </is>
      </c>
    </row>
    <row r="15">
      <c r="A15" s="270" t="inlineStr">
        <is>
          <t>Coresponde al nombre de los atributos</t>
        </is>
      </c>
    </row>
    <row r="16">
      <c r="A16" s="125" t="inlineStr">
        <is>
          <t>Corresponde a los datos que son de libre ingreso</t>
        </is>
      </c>
      <c r="B16" s="125" t="n"/>
      <c r="C16" s="125" t="n"/>
      <c r="D16" s="125" t="n"/>
    </row>
    <row r="17">
      <c r="A17" s="271" t="inlineStr">
        <is>
          <t>Corresponde a los datos que se generarán automáticamente (IdDireccion,  idCliente)</t>
        </is>
      </c>
    </row>
    <row r="18">
      <c r="A18" s="222" t="inlineStr">
        <is>
          <t>Corresponde a la combinación única 1</t>
        </is>
      </c>
    </row>
  </sheetData>
  <mergeCells count="8">
    <mergeCell ref="A18:H18"/>
    <mergeCell ref="A1:G1"/>
    <mergeCell ref="A15:H15"/>
    <mergeCell ref="I1:K1"/>
    <mergeCell ref="B2:H2"/>
    <mergeCell ref="A14:H14"/>
    <mergeCell ref="L1:O1"/>
    <mergeCell ref="A17:H17"/>
  </mergeCells>
  <hyperlinks>
    <hyperlink ref="A1" location="'Modelo de dominio'!A1" display="&lt;&lt; Ir al modelo de dominio"/>
    <hyperlink ref="I1" location="ListadoObjetosDominio!A1" display="&lt;&lt; Ir al listado de objetos de dominio"/>
    <hyperlink ref="L1" location="'C-Categoria'!A1" display="&lt;&lt; Ir a la caracterización del objeto de dominio"/>
    <hyperlink ref="B6" location="'M-Cliente'!A7" display="'M-Cliente'!A7"/>
    <hyperlink ref="B7" location="'M-Cliente'!A7" display="'M-Cliente'!A7"/>
    <hyperlink ref="B8" location="'M-Cliente'!A8" display="'M-Cliente'!A8"/>
    <hyperlink ref="B9" location="'M-Cliente'!A9" display="'M-Cliente'!A9"/>
    <hyperlink ref="B10" location="'M-Cliente'!A10" display="'M-Cliente'!A1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4"/>
  <sheetViews>
    <sheetView topLeftCell="A21" zoomScale="134" workbookViewId="0">
      <selection activeCell="K24" sqref="K24"/>
    </sheetView>
  </sheetViews>
  <sheetFormatPr baseColWidth="8" defaultColWidth="11" defaultRowHeight="15.95"/>
  <cols>
    <col width="20.875" customWidth="1" style="354" min="1" max="1"/>
    <col width="32.625" customWidth="1" style="354" min="2" max="2"/>
    <col width="17.875" customWidth="1" style="354" min="4" max="4"/>
    <col width="16.875" customWidth="1" style="354" min="5" max="5"/>
    <col width="16.5" customWidth="1" style="354" min="6" max="6"/>
    <col width="27.625" customWidth="1" style="354" min="7" max="7"/>
    <col width="18.125" bestFit="1" customWidth="1" style="354" min="9" max="9"/>
    <col width="22.375" bestFit="1" customWidth="1" style="354" min="10" max="10"/>
    <col width="31" customWidth="1" style="354" min="11" max="11"/>
    <col width="23.875" bestFit="1" customWidth="1" style="354" min="13" max="13"/>
    <col width="26.625" bestFit="1" customWidth="1" style="354" min="22" max="22"/>
    <col width="37.625" bestFit="1" customWidth="1" style="354" min="23" max="23"/>
    <col width="67.625" bestFit="1" customWidth="1" style="354" min="24" max="24"/>
    <col width="34" customWidth="1" style="354" min="25" max="25"/>
    <col width="20.375" bestFit="1" customWidth="1" style="354" min="26" max="26"/>
  </cols>
  <sheetData>
    <row r="1">
      <c r="A1" s="343" t="inlineStr">
        <is>
          <t>&lt;&lt; Ir al modelo de dominio</t>
        </is>
      </c>
      <c r="C1" s="343" t="n"/>
      <c r="D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3">
      <c r="A3" s="36" t="inlineStr">
        <is>
          <t>Nombre</t>
        </is>
      </c>
      <c r="B3" s="36">
        <f>'M-Dirección'!B2</f>
        <v/>
      </c>
      <c r="C3" s="37" t="n"/>
      <c r="D3" s="38" t="n"/>
      <c r="E3" s="38" t="n"/>
      <c r="F3" s="38" t="n"/>
      <c r="G3" s="38" t="n"/>
      <c r="H3" s="37" t="n"/>
      <c r="I3" s="37" t="n"/>
      <c r="J3" s="37" t="n"/>
      <c r="K3" s="37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9" t="n"/>
      <c r="W3" s="39" t="n"/>
      <c r="X3" s="39" t="n"/>
    </row>
    <row r="4">
      <c r="A4" s="36" t="inlineStr">
        <is>
          <t>Descripción</t>
        </is>
      </c>
      <c r="B4" s="36">
        <f>'M-Dirección'!B3</f>
        <v/>
      </c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9" t="n"/>
      <c r="W4" s="39" t="n"/>
      <c r="X4" s="39" t="n"/>
    </row>
    <row r="5">
      <c r="A5" s="40" t="inlineStr">
        <is>
          <t>Nombre atributo</t>
        </is>
      </c>
      <c r="B5" s="40" t="inlineStr">
        <is>
          <t>Descripción atributo</t>
        </is>
      </c>
      <c r="C5" s="40" t="inlineStr">
        <is>
          <t>Identificador del objeto de dominio</t>
        </is>
      </c>
      <c r="D5" s="40" t="inlineStr">
        <is>
          <t xml:space="preserve">Tipo de dato </t>
        </is>
      </c>
      <c r="E5" s="40" t="inlineStr">
        <is>
          <t>Obligatorio</t>
        </is>
      </c>
      <c r="F5" s="40" t="inlineStr">
        <is>
          <t xml:space="preserve"> Longitud minima(si aplica longitud maxima(si aplica)</t>
        </is>
      </c>
      <c r="G5" s="40" t="inlineStr">
        <is>
          <t xml:space="preserve"> Longitud maxima(si aplica longitud maxima(si aplica)</t>
        </is>
      </c>
      <c r="H5" s="40" t="inlineStr">
        <is>
          <t>Precisión (si aplica)</t>
        </is>
      </c>
      <c r="I5" s="40" t="inlineStr">
        <is>
          <t>Redondeo(si aplica)</t>
        </is>
      </c>
      <c r="J5" s="40" t="inlineStr">
        <is>
          <t>Rango inicial(si aplica)</t>
        </is>
      </c>
      <c r="K5" s="40" t="inlineStr">
        <is>
          <t>Rango final (si aplica)</t>
        </is>
      </c>
      <c r="L5" s="40" t="inlineStr">
        <is>
          <t>Formato(Si aplica)</t>
        </is>
      </c>
      <c r="M5" s="40" t="inlineStr">
        <is>
          <t>Reglas especiales(si aplica)</t>
        </is>
      </c>
      <c r="N5" s="40" t="inlineStr">
        <is>
          <t xml:space="preserve">Dato calculado </t>
        </is>
      </c>
      <c r="O5" s="40" t="inlineStr">
        <is>
          <t>Aplica ajuste del dato(si aplica)</t>
        </is>
      </c>
      <c r="P5" s="40" t="inlineStr">
        <is>
          <t>Carácter de ajuste(si aplica)</t>
        </is>
      </c>
      <c r="Q5" s="40" t="inlineStr">
        <is>
          <t>Quitar espacios en blanco al inicio(si aplica)</t>
        </is>
      </c>
      <c r="R5" s="40" t="inlineStr">
        <is>
          <t>Quitar espacios en blanco al fin(si aplica)</t>
        </is>
      </c>
      <c r="S5" s="40" t="inlineStr">
        <is>
          <t>Dato sensible(si aplica)</t>
        </is>
      </c>
      <c r="T5" s="40" t="inlineStr">
        <is>
          <t>Valor por defecto(si aplica)</t>
        </is>
      </c>
      <c r="U5" s="40" t="inlineStr">
        <is>
          <t>Auto generado</t>
        </is>
      </c>
      <c r="V5" s="100" t="inlineStr">
        <is>
          <t>Registrar una nueva categoría</t>
        </is>
      </c>
      <c r="W5" s="101" t="inlineStr">
        <is>
          <t>Consultar la información de las categorías</t>
        </is>
      </c>
      <c r="X5" s="101" t="inlineStr">
        <is>
          <t>Permite listar las categorías en la página web para filtrar y buscar productos.</t>
        </is>
      </c>
      <c r="Y5" s="102" t="inlineStr">
        <is>
          <t>Actualizar el nombre de una categoría</t>
        </is>
      </c>
      <c r="Z5" s="103" t="inlineStr">
        <is>
          <t>Eliminar una categoría</t>
        </is>
      </c>
    </row>
    <row r="6" ht="17.1" customHeight="1" s="354">
      <c r="A6" s="40">
        <f>'M-Dirección'!A5</f>
        <v/>
      </c>
      <c r="B6" s="40">
        <f>'M-Dirección'!A4</f>
        <v/>
      </c>
      <c r="C6" s="40" t="inlineStr">
        <is>
          <t>Si</t>
        </is>
      </c>
      <c r="D6" s="41" t="inlineStr">
        <is>
          <t>Alfanumerico</t>
        </is>
      </c>
      <c r="E6" s="40" t="inlineStr">
        <is>
          <t>Si</t>
        </is>
      </c>
      <c r="F6" s="40" t="n">
        <v>1</v>
      </c>
      <c r="G6" s="40" t="n">
        <v>20</v>
      </c>
      <c r="H6" s="40" t="n"/>
      <c r="I6" s="40" t="n"/>
      <c r="J6" s="40" t="n"/>
      <c r="K6" s="40" t="n"/>
      <c r="L6" s="40" t="inlineStr">
        <is>
          <t>Mayusculas</t>
        </is>
      </c>
      <c r="M6" s="40" t="n"/>
      <c r="N6" s="40" t="inlineStr">
        <is>
          <t>No</t>
        </is>
      </c>
      <c r="O6" s="40" t="inlineStr">
        <is>
          <t>No</t>
        </is>
      </c>
      <c r="P6" s="40" t="n"/>
      <c r="Q6" s="40" t="inlineStr">
        <is>
          <t>Si</t>
        </is>
      </c>
      <c r="R6" s="40" t="inlineStr">
        <is>
          <t>Si</t>
        </is>
      </c>
      <c r="S6" s="40" t="inlineStr">
        <is>
          <t>No</t>
        </is>
      </c>
      <c r="T6" s="40" t="n"/>
      <c r="U6" s="40" t="inlineStr">
        <is>
          <t>Si</t>
        </is>
      </c>
      <c r="V6" s="88" t="inlineStr">
        <is>
          <t>No requerido</t>
        </is>
      </c>
      <c r="W6" s="98" t="inlineStr">
        <is>
          <t>No Requerido</t>
        </is>
      </c>
      <c r="X6" s="98" t="inlineStr">
        <is>
          <t>No requerido</t>
        </is>
      </c>
      <c r="Y6" s="89" t="inlineStr">
        <is>
          <t>No requerido</t>
        </is>
      </c>
      <c r="Z6" s="99" t="inlineStr">
        <is>
          <t>No requerido</t>
        </is>
      </c>
    </row>
    <row r="7" ht="33.95" customHeight="1" s="354">
      <c r="A7" s="40">
        <f>'M-Dirección'!B5</f>
        <v/>
      </c>
      <c r="B7" s="41">
        <f>'M-Dirección'!B4</f>
        <v/>
      </c>
      <c r="C7" s="40" t="inlineStr">
        <is>
          <t>No</t>
        </is>
      </c>
      <c r="D7" s="164" t="inlineStr">
        <is>
          <t>&lt;Cliente&gt;</t>
        </is>
      </c>
      <c r="E7" s="40" t="inlineStr">
        <is>
          <t>Si</t>
        </is>
      </c>
      <c r="F7" s="40" t="n"/>
      <c r="G7" s="40" t="n"/>
      <c r="H7" s="40" t="n"/>
      <c r="I7" s="40" t="n"/>
      <c r="J7" s="40" t="n"/>
      <c r="K7" s="40" t="n"/>
      <c r="L7" s="40" t="n"/>
      <c r="M7" s="41" t="inlineStr">
        <is>
          <t>Debe existir un cliente previamente registrado</t>
        </is>
      </c>
      <c r="N7" s="40" t="inlineStr">
        <is>
          <t>No</t>
        </is>
      </c>
      <c r="O7" s="40" t="n"/>
      <c r="P7" s="40" t="n"/>
      <c r="Q7" s="40" t="n"/>
      <c r="R7" s="40" t="n"/>
      <c r="S7" s="40" t="inlineStr">
        <is>
          <t>No</t>
        </is>
      </c>
      <c r="T7" s="40" t="n"/>
      <c r="U7" s="40" t="inlineStr">
        <is>
          <t>No</t>
        </is>
      </c>
      <c r="V7" s="88" t="inlineStr">
        <is>
          <t>Requerido</t>
        </is>
      </c>
      <c r="W7" s="98" t="inlineStr">
        <is>
          <t>Requerido</t>
        </is>
      </c>
      <c r="X7" s="98" t="inlineStr">
        <is>
          <t>Requerido</t>
        </is>
      </c>
      <c r="Y7" s="89" t="inlineStr">
        <is>
          <t>Requerido</t>
        </is>
      </c>
      <c r="Z7" s="99" t="inlineStr">
        <is>
          <t>Requerido</t>
        </is>
      </c>
    </row>
    <row r="8" ht="33.95" customHeight="1" s="354">
      <c r="A8" s="40">
        <f>'M-Dirección'!C5</f>
        <v/>
      </c>
      <c r="B8" s="41">
        <f>'M-Dirección'!C4</f>
        <v/>
      </c>
      <c r="C8" s="40" t="inlineStr">
        <is>
          <t>No</t>
        </is>
      </c>
      <c r="D8" s="40" t="inlineStr">
        <is>
          <t>texto</t>
        </is>
      </c>
      <c r="E8" s="40" t="inlineStr">
        <is>
          <t>Si</t>
        </is>
      </c>
      <c r="F8" s="40" t="n">
        <v>4</v>
      </c>
      <c r="G8" s="40" t="n">
        <v>50</v>
      </c>
      <c r="H8" s="40" t="n"/>
      <c r="I8" s="40" t="n"/>
      <c r="J8" s="40" t="n"/>
      <c r="K8" s="40" t="n"/>
      <c r="L8" s="40" t="inlineStr">
        <is>
          <t>Capitalizado</t>
        </is>
      </c>
      <c r="M8" s="41" t="inlineStr">
        <is>
          <t>Solo nombres válidos de divisiones territoriales</t>
        </is>
      </c>
      <c r="N8" s="40" t="inlineStr">
        <is>
          <t>No</t>
        </is>
      </c>
      <c r="O8" s="40" t="inlineStr">
        <is>
          <t>No</t>
        </is>
      </c>
      <c r="P8" s="40" t="n"/>
      <c r="Q8" s="40" t="inlineStr">
        <is>
          <t>Si</t>
        </is>
      </c>
      <c r="R8" s="40" t="inlineStr">
        <is>
          <t>Si</t>
        </is>
      </c>
      <c r="S8" s="40" t="inlineStr">
        <is>
          <t>No</t>
        </is>
      </c>
      <c r="T8" s="40" t="n"/>
      <c r="U8" s="40" t="inlineStr">
        <is>
          <t>No</t>
        </is>
      </c>
      <c r="V8" s="88" t="n"/>
      <c r="W8" s="98" t="n"/>
      <c r="X8" s="98" t="n"/>
      <c r="Y8" s="89" t="n"/>
      <c r="Z8" s="99" t="n"/>
    </row>
    <row r="9" ht="33.95" customHeight="1" s="354">
      <c r="A9" s="40">
        <f>'M-Dirección'!D5</f>
        <v/>
      </c>
      <c r="B9" s="41">
        <f>'M-Dirección'!D4</f>
        <v/>
      </c>
      <c r="C9" s="40" t="inlineStr">
        <is>
          <t>No</t>
        </is>
      </c>
      <c r="D9" s="40" t="inlineStr">
        <is>
          <t>texto</t>
        </is>
      </c>
      <c r="E9" s="40" t="inlineStr">
        <is>
          <t>Si</t>
        </is>
      </c>
      <c r="F9" s="40" t="n">
        <v>3</v>
      </c>
      <c r="G9" s="40" t="n">
        <v>50</v>
      </c>
      <c r="H9" s="40" t="n"/>
      <c r="I9" s="40" t="n"/>
      <c r="J9" s="40" t="n"/>
      <c r="K9" s="40" t="n"/>
      <c r="L9" s="40" t="inlineStr">
        <is>
          <t>Capitalizado</t>
        </is>
      </c>
      <c r="M9" s="41" t="inlineStr">
        <is>
          <t>Solo nombres válidos de municipios</t>
        </is>
      </c>
      <c r="N9" s="40" t="inlineStr">
        <is>
          <t>No</t>
        </is>
      </c>
      <c r="O9" s="40" t="inlineStr">
        <is>
          <t>No</t>
        </is>
      </c>
      <c r="P9" s="40" t="n"/>
      <c r="Q9" s="40" t="inlineStr">
        <is>
          <t>Si</t>
        </is>
      </c>
      <c r="R9" s="40" t="inlineStr">
        <is>
          <t>Si</t>
        </is>
      </c>
      <c r="S9" s="40" t="inlineStr">
        <is>
          <t>No</t>
        </is>
      </c>
      <c r="T9" s="40" t="n"/>
      <c r="U9" s="40" t="inlineStr">
        <is>
          <t>No</t>
        </is>
      </c>
      <c r="V9" s="88" t="n"/>
      <c r="W9" s="98" t="n"/>
      <c r="X9" s="98" t="n"/>
      <c r="Y9" s="89" t="n"/>
      <c r="Z9" s="99" t="n"/>
    </row>
    <row r="10" ht="33.95" customHeight="1" s="354">
      <c r="A10" s="40">
        <f>'M-Dirección'!E5</f>
        <v/>
      </c>
      <c r="B10" s="41">
        <f>'M-Dirección'!E4</f>
        <v/>
      </c>
      <c r="C10" s="40" t="inlineStr">
        <is>
          <t>No</t>
        </is>
      </c>
      <c r="D10" s="40" t="inlineStr">
        <is>
          <t>Alfanumerico</t>
        </is>
      </c>
      <c r="E10" s="40" t="inlineStr">
        <is>
          <t>Si</t>
        </is>
      </c>
      <c r="F10" s="40" t="n">
        <v>5</v>
      </c>
      <c r="G10" s="40" t="n">
        <v>150</v>
      </c>
      <c r="H10" s="40" t="n"/>
      <c r="I10" s="40" t="n"/>
      <c r="J10" s="40" t="n"/>
      <c r="K10" s="40" t="n"/>
      <c r="L10" s="40" t="n"/>
      <c r="M10" s="41" t="inlineStr">
        <is>
          <t>Formato de nomenclatura urbana estándar</t>
        </is>
      </c>
      <c r="N10" s="40" t="inlineStr">
        <is>
          <t>No</t>
        </is>
      </c>
      <c r="O10" s="40" t="inlineStr">
        <is>
          <t>No</t>
        </is>
      </c>
      <c r="P10" s="40" t="n"/>
      <c r="Q10" s="40" t="inlineStr">
        <is>
          <t>Si</t>
        </is>
      </c>
      <c r="R10" s="40" t="inlineStr">
        <is>
          <t>Si</t>
        </is>
      </c>
      <c r="S10" s="40" t="inlineStr">
        <is>
          <t>No</t>
        </is>
      </c>
      <c r="T10" s="40" t="n"/>
      <c r="U10" s="40" t="inlineStr">
        <is>
          <t>No</t>
        </is>
      </c>
      <c r="V10" s="88" t="n"/>
      <c r="W10" s="98" t="n"/>
      <c r="X10" s="98" t="n"/>
      <c r="Y10" s="89" t="n"/>
      <c r="Z10" s="99" t="n"/>
    </row>
    <row r="11" ht="33.95" customHeight="1" s="354">
      <c r="A11" s="40">
        <f>'M-Dirección'!F5</f>
        <v/>
      </c>
      <c r="B11" s="41">
        <f>'M-Dirección'!F4</f>
        <v/>
      </c>
      <c r="C11" s="40" t="inlineStr">
        <is>
          <t>No</t>
        </is>
      </c>
      <c r="D11" s="40" t="inlineStr">
        <is>
          <t>texto</t>
        </is>
      </c>
      <c r="E11" s="40" t="inlineStr">
        <is>
          <t>No</t>
        </is>
      </c>
      <c r="F11" s="40" t="n">
        <v>0</v>
      </c>
      <c r="G11" s="40" t="n">
        <v>200</v>
      </c>
      <c r="H11" s="40" t="n"/>
      <c r="I11" s="40" t="n"/>
      <c r="J11" s="40" t="n"/>
      <c r="K11" s="40" t="n"/>
      <c r="L11" s="40" t="n"/>
      <c r="M11" s="41" t="inlineStr">
        <is>
          <t>Datos complementarios para ubicación</t>
        </is>
      </c>
      <c r="N11" s="40" t="inlineStr">
        <is>
          <t>No</t>
        </is>
      </c>
      <c r="O11" s="40" t="inlineStr">
        <is>
          <t>No</t>
        </is>
      </c>
      <c r="P11" s="40" t="n"/>
      <c r="Q11" s="40" t="inlineStr">
        <is>
          <t>Si</t>
        </is>
      </c>
      <c r="R11" s="40" t="inlineStr">
        <is>
          <t>Si</t>
        </is>
      </c>
      <c r="S11" s="40" t="inlineStr">
        <is>
          <t>No</t>
        </is>
      </c>
      <c r="T11" s="40" t="n"/>
      <c r="U11" s="40" t="inlineStr">
        <is>
          <t>No</t>
        </is>
      </c>
      <c r="V11" s="88" t="n"/>
      <c r="W11" s="98" t="n"/>
      <c r="X11" s="98" t="n"/>
      <c r="Y11" s="89" t="n"/>
      <c r="Z11" s="99" t="n"/>
    </row>
    <row r="12">
      <c r="V12" s="39" t="n"/>
      <c r="W12" s="39" t="n"/>
      <c r="X12" s="39" t="n"/>
    </row>
    <row r="13" ht="48" customHeight="1" s="354">
      <c r="A13" s="44" t="inlineStr">
        <is>
          <t>Nombre combinación unica</t>
        </is>
      </c>
      <c r="B13" s="161" t="inlineStr">
        <is>
          <t>Descripción</t>
        </is>
      </c>
      <c r="C13" s="283" t="inlineStr">
        <is>
          <t>Atributos involucrados</t>
        </is>
      </c>
      <c r="D13" s="360" t="n"/>
    </row>
    <row r="14" ht="51" customHeight="1" s="354">
      <c r="A14" s="42">
        <f>'M-Dirección'!G5</f>
        <v/>
      </c>
      <c r="B14" s="162">
        <f>'M-Dirección'!G4</f>
        <v/>
      </c>
      <c r="C14" s="163">
        <f t="array" ref="C14:D14">'M-Dirección'!E5:F5</f>
        <v/>
      </c>
      <c r="D14" s="163" t="inlineStr">
        <is>
          <t>detalleAdicional</t>
        </is>
      </c>
    </row>
    <row r="16" ht="15.75" customHeight="1" s="354">
      <c r="A16" s="255" t="inlineStr">
        <is>
          <t>Responsabilidad</t>
        </is>
      </c>
      <c r="B16" s="255" t="inlineStr">
        <is>
          <t>Descripción</t>
        </is>
      </c>
      <c r="C16" s="255" t="inlineStr">
        <is>
          <t>Entradas</t>
        </is>
      </c>
      <c r="D16" s="364" t="n"/>
      <c r="E16" s="360" t="n"/>
      <c r="F16" s="255" t="inlineStr">
        <is>
          <t>Salida</t>
        </is>
      </c>
      <c r="G16" s="360" t="n"/>
      <c r="H16" s="255" t="inlineStr">
        <is>
          <t>Políticas (Reglas de Negocio)</t>
        </is>
      </c>
      <c r="I16" s="360" t="n"/>
      <c r="J16" s="255" t="inlineStr">
        <is>
          <t xml:space="preserve">Excepción </t>
        </is>
      </c>
      <c r="K16" s="360" t="n"/>
    </row>
    <row r="17" ht="15.75" customHeight="1" s="354">
      <c r="A17" s="365" t="n"/>
      <c r="B17" s="365" t="n"/>
      <c r="C17" s="255" t="inlineStr">
        <is>
          <t>Parámettro</t>
        </is>
      </c>
      <c r="D17" s="255" t="inlineStr">
        <is>
          <t xml:space="preserve">Tipo de dato </t>
        </is>
      </c>
      <c r="E17" s="255" t="inlineStr">
        <is>
          <t>Descripci</t>
        </is>
      </c>
      <c r="F17" s="255" t="inlineStr">
        <is>
          <t>Tipo de Dato</t>
        </is>
      </c>
      <c r="G17" s="255" t="inlineStr">
        <is>
          <t>Descripción</t>
        </is>
      </c>
      <c r="H17" s="255" t="inlineStr">
        <is>
          <t>Política</t>
        </is>
      </c>
      <c r="I17" s="255" t="inlineStr">
        <is>
          <t>Descripción</t>
        </is>
      </c>
      <c r="J17" s="255" t="inlineStr">
        <is>
          <t>Detalle</t>
        </is>
      </c>
      <c r="K17" s="255" t="inlineStr">
        <is>
          <t>¿Qué hago?</t>
        </is>
      </c>
    </row>
    <row r="18" ht="63" customHeight="1" s="354">
      <c r="A18" s="261">
        <f>'E-Direccion'!B7</f>
        <v/>
      </c>
      <c r="B18" s="261">
        <f>'E-Direccion'!C7</f>
        <v/>
      </c>
      <c r="C18" s="256" t="inlineStr">
        <is>
          <t>direccionNueva</t>
        </is>
      </c>
      <c r="D18" s="256" t="inlineStr">
        <is>
          <t>Dirección</t>
        </is>
      </c>
      <c r="E18" s="257" t="inlineStr">
        <is>
          <t>Contiene la información de la nueva dirección a registrar.</t>
        </is>
      </c>
      <c r="F18" s="256" t="inlineStr">
        <is>
          <t>Logico</t>
        </is>
      </c>
      <c r="G18" s="256" t="inlineStr">
        <is>
          <t>Retorna verdadero si la dirección se agregó correctamente al perfil del cliente.</t>
        </is>
      </c>
      <c r="H18" s="256">
        <f>'E-Direccion'!G7</f>
        <v/>
      </c>
      <c r="I18" s="257">
        <f>'E-Direccion'!H7</f>
        <v/>
      </c>
      <c r="J18" s="256" t="inlineStr">
        <is>
          <t>Generar excepción indicando qué campo de la dirección no cumple con el formato o es obligatorio.</t>
        </is>
      </c>
      <c r="K18" s="256" t="inlineStr">
        <is>
          <t>Detener operación</t>
        </is>
      </c>
    </row>
    <row r="19" ht="15.75" customHeight="1" s="354">
      <c r="A19" s="366" t="n"/>
      <c r="B19" s="366" t="n"/>
      <c r="C19" s="366" t="n"/>
      <c r="D19" s="366" t="n"/>
      <c r="E19" s="366" t="n"/>
      <c r="F19" s="366" t="n"/>
      <c r="G19" s="366" t="n"/>
      <c r="H19" s="256">
        <f>'E-Direccion'!G8</f>
        <v/>
      </c>
      <c r="I19" s="257">
        <f>'E-Direccion'!H8</f>
        <v/>
      </c>
      <c r="J19" s="256" t="inlineStr">
        <is>
          <t>Generar excepción indicando que el cliente asociado a la dirección no existe en la base de datos.</t>
        </is>
      </c>
      <c r="K19" s="256" t="inlineStr">
        <is>
          <t>Detener operación</t>
        </is>
      </c>
    </row>
    <row r="20" ht="15.75" customHeight="1" s="354">
      <c r="A20" s="365" t="n"/>
      <c r="B20" s="365" t="n"/>
      <c r="C20" s="365" t="n"/>
      <c r="D20" s="365" t="n"/>
      <c r="E20" s="365" t="n"/>
      <c r="F20" s="365" t="n"/>
      <c r="G20" s="365" t="n"/>
      <c r="H20" s="365" t="n"/>
      <c r="I20" s="365" t="n"/>
      <c r="J20" s="365" t="n"/>
      <c r="K20" s="365" t="n"/>
    </row>
    <row r="21" ht="77.25" customHeight="1" s="354">
      <c r="A21" s="346">
        <f>'E-Direccion'!B9</f>
        <v/>
      </c>
      <c r="B21" s="346">
        <f>'E-Direccion'!C9</f>
        <v/>
      </c>
      <c r="C21" s="346" t="inlineStr">
        <is>
          <t>direccionModificada</t>
        </is>
      </c>
      <c r="D21" s="346" t="inlineStr">
        <is>
          <t>Dirección</t>
        </is>
      </c>
      <c r="E21" s="346" t="inlineStr">
        <is>
          <t>Contiene la nueva información de la ubicación a actualizar.</t>
        </is>
      </c>
      <c r="F21" s="346" t="inlineStr">
        <is>
          <t>Logico</t>
        </is>
      </c>
      <c r="G21" s="346" t="inlineStr">
        <is>
          <t>Retorna verdadero si la dirección se modificó exitosamente.</t>
        </is>
      </c>
      <c r="H21" s="346">
        <f>'E-Direccion'!G9</f>
        <v/>
      </c>
      <c r="I21" s="346">
        <f>'E-Direccion'!H9</f>
        <v/>
      </c>
      <c r="J21" s="346" t="inlineStr">
        <is>
          <t>Generar excepción indicando que la dirección no existe o el usuario no tiene permisos para editarla.</t>
        </is>
      </c>
      <c r="K21" s="346" t="inlineStr">
        <is>
          <t>Detener operación</t>
        </is>
      </c>
    </row>
    <row r="22" ht="57.75" customHeight="1" s="354">
      <c r="A22" s="260">
        <f>'E-Direccion'!B10</f>
        <v/>
      </c>
      <c r="B22" s="260">
        <f>'E-Direccion'!C10</f>
        <v/>
      </c>
      <c r="C22" s="259" t="inlineStr">
        <is>
          <t>idDireccion</t>
        </is>
      </c>
      <c r="D22" s="259" t="inlineStr">
        <is>
          <t>alfanumerico</t>
        </is>
      </c>
      <c r="E22" s="259" t="inlineStr">
        <is>
          <t>Identificador exacto de la ubicación que el usuario desea borrar.</t>
        </is>
      </c>
      <c r="F22" s="259" t="inlineStr">
        <is>
          <t>Logico</t>
        </is>
      </c>
      <c r="G22" s="259" t="inlineStr">
        <is>
          <t>Retorna verdadero si la dirección fue eliminada o inactivada correctamente.</t>
        </is>
      </c>
      <c r="H22" s="259">
        <f>'E-Direccion'!G10</f>
        <v/>
      </c>
      <c r="I22" s="259">
        <f>'E-Direccion'!H10</f>
        <v/>
      </c>
      <c r="J22" s="259" t="inlineStr">
        <is>
          <t>Generar excepción indicando que la dirección a borrar no existe o no es de su propiedad.</t>
        </is>
      </c>
      <c r="K22" s="259" t="inlineStr">
        <is>
          <t>Detener operación</t>
        </is>
      </c>
    </row>
    <row r="23" ht="87" customHeight="1" s="354">
      <c r="A23" s="365" t="n"/>
      <c r="B23" s="365" t="n"/>
      <c r="C23" s="365" t="n"/>
      <c r="D23" s="365" t="n"/>
      <c r="E23" s="365" t="n"/>
      <c r="F23" s="365" t="n"/>
      <c r="G23" s="365" t="n"/>
      <c r="H23" s="259">
        <f>'E-Direccion'!G11</f>
        <v/>
      </c>
      <c r="I23" s="259">
        <f>'E-Direccion'!H11</f>
        <v/>
      </c>
      <c r="J23" s="259" t="inlineStr">
        <is>
          <t>Generar excepción indicando que la dirección está bloqueada temporalmente porque tiene un envío en curso.</t>
        </is>
      </c>
      <c r="K23" s="259" t="inlineStr">
        <is>
          <t>Detener operación</t>
        </is>
      </c>
    </row>
    <row r="24" ht="87" customHeight="1" s="354">
      <c r="A24" s="201">
        <f>'E-Direccion'!B12</f>
        <v/>
      </c>
      <c r="B24" s="201">
        <f>'E-Direccion'!C10</f>
        <v/>
      </c>
      <c r="C24" s="196" t="inlineStr">
        <is>
          <t>idCliente</t>
        </is>
      </c>
      <c r="D24" s="191" t="inlineStr">
        <is>
          <t>alfanumerico</t>
        </is>
      </c>
      <c r="E24" s="191" t="inlineStr">
        <is>
          <t>Identificador del cliente del cual se quieren obtener las ubicaciones guardadas.</t>
        </is>
      </c>
      <c r="F24" s="191" t="inlineStr">
        <is>
          <t>Lista&lt;Dirección&gt;</t>
        </is>
      </c>
      <c r="G24" s="192" t="inlineStr">
        <is>
          <t>Retorna una colección con los objetos de las direcciones encontradas.</t>
        </is>
      </c>
      <c r="H24" s="191">
        <f>'E-Direccion'!G12</f>
        <v/>
      </c>
      <c r="I24" s="191">
        <f>'E-Direccion'!H12</f>
        <v/>
      </c>
      <c r="J24" s="193" t="inlineStr">
        <is>
          <t>Generar excepción indicando acceso denegado por intentar consultar direcciones de otro usuario sin rol de administrador.</t>
        </is>
      </c>
      <c r="K24" s="193" t="inlineStr">
        <is>
          <t>Detener operación</t>
        </is>
      </c>
    </row>
    <row r="25" ht="15.75" customHeight="1" s="354"/>
    <row r="26" ht="15.75" customHeight="1" s="354"/>
    <row r="27" ht="15.75" customHeight="1" s="354"/>
    <row r="28" ht="15.75" customHeight="1" s="354"/>
    <row r="29" ht="15.75" customHeight="1" s="354"/>
    <row r="30" ht="15.75" customHeight="1" s="354"/>
    <row r="31" ht="15.75" customHeight="1" s="354"/>
    <row r="32" ht="15.75" customHeight="1" s="354"/>
    <row r="33" ht="15.75" customHeight="1" s="354"/>
    <row r="36" ht="15.75" customHeight="1" s="354"/>
  </sheetData>
  <mergeCells count="28">
    <mergeCell ref="C16:E16"/>
    <mergeCell ref="F16:G16"/>
    <mergeCell ref="A16:A17"/>
    <mergeCell ref="G1:J1"/>
    <mergeCell ref="A1:B1"/>
    <mergeCell ref="D18:D20"/>
    <mergeCell ref="C22:C23"/>
    <mergeCell ref="F22:F23"/>
    <mergeCell ref="C18:C20"/>
    <mergeCell ref="H19:H20"/>
    <mergeCell ref="E18:E20"/>
    <mergeCell ref="A22:A23"/>
    <mergeCell ref="H16:I16"/>
    <mergeCell ref="J16:K16"/>
    <mergeCell ref="I19:I20"/>
    <mergeCell ref="D1:F1"/>
    <mergeCell ref="K19:K20"/>
    <mergeCell ref="B18:B20"/>
    <mergeCell ref="G22:G23"/>
    <mergeCell ref="F18:F20"/>
    <mergeCell ref="B22:B23"/>
    <mergeCell ref="E22:E23"/>
    <mergeCell ref="C13:D13"/>
    <mergeCell ref="B16:B17"/>
    <mergeCell ref="J19:J20"/>
    <mergeCell ref="A18:A20"/>
    <mergeCell ref="G18:G20"/>
    <mergeCell ref="D22:D23"/>
  </mergeCells>
  <hyperlinks>
    <hyperlink ref="A1" location="'Modelo de dominio'!A1" display="&lt;&lt; Ir al modelo de dominio"/>
    <hyperlink ref="D1" location="ListadoObjetosDominio!A1" display="&lt;&lt; Ir al listado de objetos de dominio"/>
    <hyperlink ref="G1" location="'C-Departamento'!A1" display="&lt;&lt; Ir a la caracterización del objeto de dominio"/>
    <hyperlink ref="V5" location="'C-Categoria'!A15" display="Registrar una nueva categoría"/>
    <hyperlink ref="W5" location="'C-Categoria'!A16" display="Consultar la información de las categorías"/>
    <hyperlink ref="X5" location="'C-Categoria'!A17" display="Permite listar las categorías en la página web para filtrar y buscar productos."/>
    <hyperlink ref="Y5" location="'C-Categoria'!A17" display="Actualizar el nombre de una categoría"/>
    <hyperlink ref="Z5" location="'C-Categoria'!A18" display="Eliminar una categoría"/>
    <hyperlink ref="D7" location="'M-Cliente'!B3" display="&lt;Cliente&gt;"/>
    <hyperlink ref="A21" location="RANGE!W4" display="Eliminar de forma definitiva la información de un nuevo País"/>
    <hyperlink ref="A22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topLeftCell="A4" zoomScale="80" zoomScaleNormal="80" workbookViewId="0">
      <selection activeCell="H12" sqref="H12"/>
    </sheetView>
  </sheetViews>
  <sheetFormatPr baseColWidth="8" defaultColWidth="8.875" defaultRowHeight="15"/>
  <cols>
    <col width="16.5" customWidth="1" style="359" min="1" max="1"/>
    <col width="30" customWidth="1" style="359" min="2" max="2"/>
    <col width="40" customWidth="1" style="359" min="3" max="3"/>
    <col width="19.125" customWidth="1" style="359" min="4" max="4"/>
    <col width="25" customWidth="1" style="359" min="5" max="5"/>
    <col width="41.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23" customWidth="1" style="359" min="11" max="11"/>
    <col hidden="1" width="0.125" customWidth="1" style="359" min="12" max="12"/>
    <col hidden="1" width="8.875" customWidth="1" style="359" min="13" max="13"/>
    <col width="8.875" customWidth="1" style="359" min="14" max="16384"/>
  </cols>
  <sheetData>
    <row r="1" ht="15.95" customHeight="1" s="354">
      <c r="A1" s="4" t="inlineStr">
        <is>
          <t>&lt;&lt; Ir al modelo de dominio</t>
        </is>
      </c>
      <c r="D1" s="4" t="inlineStr">
        <is>
          <t>&lt;&lt; Ir al listado de objetos de dominio</t>
        </is>
      </c>
      <c r="H1" s="4" t="inlineStr">
        <is>
          <t>&lt;&lt; Ir a la caracterización del objeto de dominio</t>
        </is>
      </c>
      <c r="L1" s="63" t="inlineStr">
        <is>
          <t>Ir al muestreo de datos del objeto de dominio &gt;&gt;</t>
        </is>
      </c>
    </row>
    <row r="2">
      <c r="A2" s="65" t="inlineStr">
        <is>
          <t>Objeto de Dominio:</t>
        </is>
      </c>
      <c r="B2" s="355">
        <f>ListadoObjetosDominio!B5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361" t="n"/>
      <c r="L2" s="361" t="n"/>
      <c r="M2" s="91" t="n"/>
    </row>
    <row r="3">
      <c r="A3" s="65" t="inlineStr">
        <is>
          <t>Descripción:</t>
        </is>
      </c>
      <c r="B3" s="355">
        <f>ListadoObjetosDominio!C5</f>
        <v/>
      </c>
      <c r="C3" s="361" t="n"/>
      <c r="D3" s="361" t="n"/>
      <c r="E3" s="361" t="n"/>
      <c r="F3" s="361" t="n"/>
      <c r="G3" s="361" t="n"/>
      <c r="H3" s="361" t="n"/>
      <c r="I3" s="361" t="n"/>
      <c r="J3" s="361" t="n"/>
      <c r="K3" s="361" t="n"/>
      <c r="L3" s="361" t="n"/>
      <c r="M3" s="91" t="n"/>
    </row>
    <row r="4" ht="30" customHeight="1" s="354">
      <c r="A4" s="66" t="inlineStr">
        <is>
          <t>Actor</t>
        </is>
      </c>
      <c r="B4" s="368" t="inlineStr">
        <is>
          <t>Action/Command</t>
        </is>
      </c>
      <c r="C4" s="91" t="n"/>
      <c r="D4" s="67" t="inlineStr">
        <is>
          <t>Entity/Aggregate/Object domain</t>
        </is>
      </c>
      <c r="E4" s="71" t="inlineStr">
        <is>
          <t>Read Model</t>
        </is>
      </c>
      <c r="F4" s="91" t="n"/>
      <c r="G4" s="369" t="inlineStr">
        <is>
          <t>Business Rule/Policy</t>
        </is>
      </c>
      <c r="H4" s="91" t="n"/>
      <c r="I4" s="68" t="inlineStr">
        <is>
          <t>External System</t>
        </is>
      </c>
      <c r="J4" s="69" t="inlineStr">
        <is>
          <t>Domain Event</t>
        </is>
      </c>
      <c r="K4" s="70" t="inlineStr">
        <is>
          <t>Hotspot/questions/Risk</t>
        </is>
      </c>
    </row>
    <row r="5" ht="27.95" customHeight="1" s="354">
      <c r="A5" s="66" t="inlineStr">
        <is>
          <t>Actor</t>
        </is>
      </c>
      <c r="B5" s="368" t="inlineStr">
        <is>
          <t>Acción</t>
        </is>
      </c>
      <c r="C5" s="368" t="inlineStr">
        <is>
          <t>Descripción</t>
        </is>
      </c>
      <c r="D5" s="67" t="inlineStr">
        <is>
          <t>Objeto de dominio</t>
        </is>
      </c>
      <c r="E5" s="71" t="inlineStr">
        <is>
          <t>Información externa</t>
        </is>
      </c>
      <c r="F5" s="91" t="n"/>
      <c r="G5" s="72" t="inlineStr">
        <is>
          <t>Políticas</t>
        </is>
      </c>
      <c r="H5" s="91" t="n"/>
      <c r="I5" s="370" t="inlineStr">
        <is>
          <t>Sistema Externo</t>
        </is>
      </c>
      <c r="J5" s="371" t="inlineStr">
        <is>
          <t>Evento</t>
        </is>
      </c>
      <c r="K5" s="372" t="inlineStr">
        <is>
          <t>Aspectos por solucionar</t>
        </is>
      </c>
    </row>
    <row r="6">
      <c r="A6" s="373" t="n"/>
      <c r="B6" s="362" t="n"/>
      <c r="C6" s="362" t="n"/>
      <c r="D6" s="362" t="n"/>
      <c r="E6" s="71" t="inlineStr">
        <is>
          <t>Información</t>
        </is>
      </c>
      <c r="F6" s="71" t="inlineStr">
        <is>
          <t>Descripción</t>
        </is>
      </c>
      <c r="G6" s="72" t="inlineStr">
        <is>
          <t>Número</t>
        </is>
      </c>
      <c r="H6" s="72" t="inlineStr">
        <is>
          <t>Descripción</t>
        </is>
      </c>
      <c r="I6" s="362" t="n"/>
      <c r="J6" s="362" t="n"/>
      <c r="K6" s="362" t="n"/>
    </row>
    <row r="7" ht="65.09999999999999" customHeight="1" s="354">
      <c r="A7" s="6">
        <f>ListadoObjetosDominio!B3</f>
        <v/>
      </c>
      <c r="B7" s="6" t="inlineStr">
        <is>
          <t>Agregar dirección</t>
        </is>
      </c>
      <c r="C7" s="6" t="inlineStr">
        <is>
          <t>Registrar una nueva ubicación física para la entrega de pedidos o facturación.</t>
        </is>
      </c>
      <c r="D7" s="6">
        <f>ListadoObjetosDominio!B5</f>
        <v/>
      </c>
      <c r="E7" s="6" t="inlineStr">
        <is>
          <t>idCliente, departamento, ciudad, calle, detalleAdicional
Detalle de productos</t>
        </is>
      </c>
      <c r="F7" s="6" t="inlineStr">
        <is>
          <t>Formulario de creación con los datos de ubicación vinculados al perfil del usuario.</t>
        </is>
      </c>
      <c r="G7" s="73" t="inlineStr">
        <is>
          <t>DIR-POL-01</t>
        </is>
      </c>
      <c r="H7" s="73" t="inlineStr">
        <is>
          <t>Asegurar que los datos requeridos sean válidos a nivel de tipo de dato, formato, longitud y obligatoriedad.</t>
        </is>
      </c>
      <c r="I7" s="6" t="inlineStr">
        <is>
          <t>Base de datos</t>
        </is>
      </c>
      <c r="J7" s="6" t="inlineStr">
        <is>
          <t>Dirección agregada</t>
        </is>
      </c>
      <c r="K7" s="6" t="inlineStr">
        <is>
          <t>Riesgo de que el cliente ingrese una nomenclatura errónea que la transportadora no pueda encontrar</t>
        </is>
      </c>
    </row>
    <row r="8" ht="65.09999999999999" customHeight="1" s="354">
      <c r="A8" s="362" t="n"/>
      <c r="B8" s="362" t="n"/>
      <c r="C8" s="362" t="n"/>
      <c r="D8" s="362" t="n"/>
      <c r="E8" s="362" t="n"/>
      <c r="F8" s="362" t="n"/>
      <c r="G8" s="73" t="inlineStr">
        <is>
          <t>DIR-POL-02</t>
        </is>
      </c>
      <c r="H8" s="73" t="inlineStr">
        <is>
          <t>El idCliente asociado debe existir previamente</t>
        </is>
      </c>
      <c r="I8" s="362" t="n"/>
      <c r="J8" s="362" t="n"/>
      <c r="K8" s="362" t="n"/>
    </row>
    <row r="9" ht="65.09999999999999" customHeight="1" s="354">
      <c r="A9" s="73">
        <f>ListadoObjetosDominio!B3</f>
        <v/>
      </c>
      <c r="B9" s="6" t="inlineStr">
        <is>
          <t>Modificar dirección</t>
        </is>
      </c>
      <c r="C9" s="73" t="inlineStr">
        <is>
          <t>Actualizar los detalles de una dirección existente (ej. corrección de calle o apartamento).</t>
        </is>
      </c>
      <c r="D9" s="73">
        <f>ListadoObjetosDominio!B5</f>
        <v/>
      </c>
      <c r="E9" s="73" t="inlineStr">
        <is>
          <t>idDireccion, departamento, ciudad, calle, detalleAdicional</t>
        </is>
      </c>
      <c r="F9" s="73" t="inlineStr">
        <is>
          <t>Formulario pre-poblado con la información actual de la dirección a editar.</t>
        </is>
      </c>
      <c r="G9" s="73" t="inlineStr">
        <is>
          <t>DIR-POL-03</t>
        </is>
      </c>
      <c r="H9" s="73" t="inlineStr">
        <is>
          <t>El idDireccion a modificar debe existir y pertenecer al cliente que ejecuta la acción.</t>
        </is>
      </c>
      <c r="I9" s="73" t="inlineStr">
        <is>
          <t>Base de datos</t>
        </is>
      </c>
      <c r="J9" s="73" t="inlineStr">
        <is>
          <t>Dirección modificada</t>
        </is>
      </c>
      <c r="K9" s="73" t="inlineStr">
        <is>
          <t>¿Qué pasa si el cliente modifica una dirección mientras un pedido en curso ya va en camino hacia la dirección anterior?</t>
        </is>
      </c>
    </row>
    <row r="10" ht="65.09999999999999" customHeight="1" s="354">
      <c r="A10" s="6" t="inlineStr">
        <is>
          <t>Cliente</t>
        </is>
      </c>
      <c r="B10" s="6" t="inlineStr">
        <is>
          <t>Eliminar dirección</t>
        </is>
      </c>
      <c r="C10" s="6" t="inlineStr">
        <is>
          <t xml:space="preserve">	Quitar una dirección de la libreta de direcciones del usuario para que no aparezca en futuras compras. </t>
        </is>
      </c>
      <c r="D10" s="6">
        <f>ListadoObjetosDominio!B5</f>
        <v/>
      </c>
      <c r="E10" s="6" t="inlineStr">
        <is>
          <t>idDireccion</t>
        </is>
      </c>
      <c r="F10" s="6" t="inlineStr">
        <is>
          <t>Identificador de la ubicación que el usuario desea borrar de su perfil.</t>
        </is>
      </c>
      <c r="G10" s="73" t="inlineStr">
        <is>
          <t>DIR-POL-04</t>
        </is>
      </c>
      <c r="H10" s="73" t="inlineStr">
        <is>
          <t>El idDireccion a eliminar debe existir y pertenecer al cliente.</t>
        </is>
      </c>
      <c r="I10" s="6" t="inlineStr">
        <is>
          <t>Base de datos</t>
        </is>
      </c>
      <c r="J10" s="6" t="inlineStr">
        <is>
          <t>Direccion eliminada</t>
        </is>
      </c>
      <c r="K10" s="6" t="inlineStr">
        <is>
          <t xml:space="preserve">Si se elimina físicamente la dirección, se puede dañar el historial de facturas pasadas. </t>
        </is>
      </c>
    </row>
    <row r="11" ht="65.09999999999999" customHeight="1" s="354">
      <c r="A11" s="362" t="n"/>
      <c r="B11" s="362" t="n"/>
      <c r="C11" s="362" t="n"/>
      <c r="D11" s="362" t="n"/>
      <c r="E11" s="362" t="n"/>
      <c r="F11" s="362" t="n"/>
      <c r="G11" s="73" t="inlineStr">
        <is>
          <t>DIR-POL-05</t>
        </is>
      </c>
      <c r="H11" s="73" t="inlineStr">
        <is>
          <t>El sistema no debe permitir eliminar una dirección si está asociada a un pedido en estado "Pendiente" o "En tránsito".</t>
        </is>
      </c>
      <c r="I11" s="362" t="n"/>
      <c r="J11" s="362" t="n"/>
      <c r="K11" s="362" t="n"/>
    </row>
    <row r="12" ht="65.09999999999999" customHeight="1" s="354">
      <c r="A12" s="73">
        <f>_xlfn.CONCAT(ListadoObjetosDominio!B3,"/ ",ListadoObjetosDominio!B4,)</f>
        <v/>
      </c>
      <c r="B12" s="73" t="inlineStr">
        <is>
          <t>Consultar direcciones</t>
        </is>
      </c>
      <c r="C12" s="73" t="inlineStr">
        <is>
          <t>Listar las direcciones guardadas de un cliente específico para seleccionarlas en el checkout o dar soporte.</t>
        </is>
      </c>
      <c r="D12" s="73">
        <f>ListadoObjetosDominio!B5</f>
        <v/>
      </c>
      <c r="E12" s="73" t="inlineStr">
        <is>
          <t>idDireccion, departamento, ciudad, calle, detalleAdicional</t>
        </is>
      </c>
      <c r="F12" s="73" t="inlineStr">
        <is>
          <t>Vista de libreta de direcciones o panel de selección durante el proceso de compra.</t>
        </is>
      </c>
      <c r="G12" s="73" t="inlineStr">
        <is>
          <t>DIR-POL-06</t>
        </is>
      </c>
      <c r="H12" s="73" t="inlineStr">
        <is>
          <t>El cliente solo puede consultar sus propias direcciones; el administrador puede consultar las de cualquier cliente.</t>
        </is>
      </c>
      <c r="I12" s="73" t="inlineStr">
        <is>
          <t>Base de datos</t>
        </is>
      </c>
      <c r="J12" s="73" t="inlineStr">
        <is>
          <t>Direcciones consultadas</t>
        </is>
      </c>
      <c r="K12" s="73" t="inlineStr">
        <is>
          <t>Ninguno identificado en el momento</t>
        </is>
      </c>
    </row>
    <row r="13" ht="65.09999999999999" customHeight="1" s="354">
      <c r="A13" s="175" t="n"/>
      <c r="B13" s="175" t="n"/>
      <c r="C13" s="175" t="n"/>
      <c r="D13" s="175" t="n"/>
      <c r="E13" s="175" t="n"/>
      <c r="F13" s="175" t="n"/>
      <c r="G13" s="175" t="n"/>
      <c r="H13" s="175" t="n"/>
      <c r="I13" s="175" t="n"/>
      <c r="J13" s="175" t="n"/>
      <c r="K13" s="175" t="n"/>
    </row>
  </sheetData>
  <mergeCells count="32">
    <mergeCell ref="B2:M2"/>
    <mergeCell ref="A7:A8"/>
    <mergeCell ref="E5:F5"/>
    <mergeCell ref="I7:I8"/>
    <mergeCell ref="C10:C11"/>
    <mergeCell ref="E10:E11"/>
    <mergeCell ref="E4:F4"/>
    <mergeCell ref="D7:D8"/>
    <mergeCell ref="J7:J8"/>
    <mergeCell ref="B10:B11"/>
    <mergeCell ref="I5:I6"/>
    <mergeCell ref="A5:A6"/>
    <mergeCell ref="C7:C8"/>
    <mergeCell ref="G5:H5"/>
    <mergeCell ref="E7:E8"/>
    <mergeCell ref="K7:K8"/>
    <mergeCell ref="A10:A11"/>
    <mergeCell ref="I10:I11"/>
    <mergeCell ref="B5:B6"/>
    <mergeCell ref="K10:K11"/>
    <mergeCell ref="D5:D6"/>
    <mergeCell ref="G4:H4"/>
    <mergeCell ref="K5:K6"/>
    <mergeCell ref="D10:D11"/>
    <mergeCell ref="J5:J6"/>
    <mergeCell ref="B3:M3"/>
    <mergeCell ref="B7:B8"/>
    <mergeCell ref="C5:C6"/>
    <mergeCell ref="F7:F8"/>
    <mergeCell ref="F10:F11"/>
    <mergeCell ref="B4:C4"/>
    <mergeCell ref="J10:J11"/>
  </mergeCells>
  <hyperlinks>
    <hyperlink ref="A1" location="'Modelo de dominio'!A1" display="&lt;&lt; Ir al modelo de dominio"/>
    <hyperlink ref="D1" location="ListadoObjetosDominio!A1" display="&lt;&lt; Ir al listado de objetos de dominio"/>
    <hyperlink ref="H1" location="'C-Categoria'!A1" display="&lt;&lt; Ir a la caracterización del objeto de dominio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topLeftCell="B1" workbookViewId="0">
      <selection activeCell="D4" sqref="D4:E4"/>
    </sheetView>
  </sheetViews>
  <sheetFormatPr baseColWidth="8" defaultColWidth="11" defaultRowHeight="15.95"/>
  <cols>
    <col width="13.875" bestFit="1" customWidth="1" style="354" min="1" max="1"/>
    <col width="16.625" bestFit="1" customWidth="1" style="354" min="2" max="3"/>
    <col width="31.125" customWidth="1" style="354" min="4" max="4"/>
    <col width="53.375" customWidth="1" style="354" min="5" max="5"/>
  </cols>
  <sheetData>
    <row r="1" ht="17.1" customHeight="1" s="354">
      <c r="A1" s="343" t="inlineStr">
        <is>
          <t>&lt;&lt; Ir al modelo de dominio</t>
        </is>
      </c>
      <c r="D1" s="343" t="n"/>
      <c r="E1" s="335" t="inlineStr">
        <is>
          <t>&lt;&lt; Ir al listado de objetos de dominio</t>
        </is>
      </c>
      <c r="H1" s="343" t="inlineStr">
        <is>
          <t>&lt;&lt; Ir a la caracterización del objeto de dominio</t>
        </is>
      </c>
    </row>
    <row r="2">
      <c r="A2" s="7" t="inlineStr">
        <is>
          <t>Nombre:</t>
        </is>
      </c>
      <c r="B2" s="374">
        <f>ListadoObjetosDominio!B6</f>
        <v/>
      </c>
      <c r="C2" s="361" t="n"/>
      <c r="D2" s="361" t="n"/>
      <c r="E2" s="91" t="n"/>
    </row>
    <row r="3">
      <c r="A3" s="7" t="inlineStr">
        <is>
          <t>Descripción:</t>
        </is>
      </c>
      <c r="B3" s="375">
        <f>ListadoObjetosDominio!C6</f>
        <v/>
      </c>
      <c r="C3" s="361" t="n"/>
      <c r="D3" s="361" t="n"/>
      <c r="E3" s="91" t="n"/>
    </row>
    <row r="4" ht="44.1" customHeight="1" s="354">
      <c r="A4" s="8" t="inlineStr">
        <is>
          <t>Identificador único universal (UUID) de la categoría.</t>
        </is>
      </c>
      <c r="B4" s="8" t="inlineStr">
        <is>
          <t>Nombre comercial de la categoría de productos.</t>
        </is>
      </c>
      <c r="C4" s="8" t="inlineStr">
        <is>
          <t>Descripción breve de la categoría (opcional).</t>
        </is>
      </c>
      <c r="D4" s="308" t="inlineStr">
        <is>
          <t>Indica si la categoría está activa (true) o inactiva (false).</t>
        </is>
      </c>
    </row>
    <row r="5">
      <c r="A5" s="9" t="inlineStr">
        <is>
          <t>id</t>
        </is>
      </c>
      <c r="B5" s="9" t="inlineStr">
        <is>
          <t>nombre</t>
        </is>
      </c>
      <c r="C5" s="9" t="inlineStr">
        <is>
          <t>descripcion</t>
        </is>
      </c>
      <c r="D5" s="276" t="inlineStr">
        <is>
          <t>estado</t>
        </is>
      </c>
    </row>
    <row r="6">
      <c r="A6" s="10" t="inlineStr">
        <is>
          <t>CA111111-1111-4111-8111-111111111101</t>
        </is>
      </c>
      <c r="B6" s="11" t="inlineStr">
        <is>
          <t>Hogar</t>
        </is>
      </c>
      <c r="C6" s="11" t="inlineStr">
        <is>
          <t>Productos decorativos y utilitarios para el hogar.</t>
        </is>
      </c>
      <c r="D6" s="307" t="b">
        <v>1</v>
      </c>
    </row>
    <row r="7">
      <c r="A7" s="10" t="inlineStr">
        <is>
          <t>CA111111-1111-4111-8111-111111111102</t>
        </is>
      </c>
      <c r="B7" s="11" t="inlineStr">
        <is>
          <t>Moda</t>
        </is>
      </c>
      <c r="C7" s="11" t="inlineStr">
        <is>
          <t>Prendas de vestir y accesorios de moda.</t>
        </is>
      </c>
      <c r="D7" s="307" t="b">
        <v>1</v>
      </c>
    </row>
    <row r="8">
      <c r="A8" s="10" t="inlineStr">
        <is>
          <t>CA111111-1111-4111-8111-111111111103</t>
        </is>
      </c>
      <c r="B8" s="11" t="inlineStr">
        <is>
          <t>Accesorios</t>
        </is>
      </c>
      <c r="C8" s="11" t="inlineStr">
        <is>
          <t>Accesorios personales y complementos.</t>
        </is>
      </c>
      <c r="D8" s="307" t="b">
        <v>1</v>
      </c>
    </row>
    <row r="9">
      <c r="A9" s="10" t="inlineStr">
        <is>
          <t>CA111111-1111-4111-8111-111111111104</t>
        </is>
      </c>
      <c r="B9" s="11" t="inlineStr">
        <is>
          <t>Tecnología</t>
        </is>
      </c>
      <c r="C9" s="11" t="inlineStr">
        <is>
          <t>Dispositivos y accesorios tecnológicos.</t>
        </is>
      </c>
      <c r="D9" s="307" t="b">
        <v>1</v>
      </c>
    </row>
    <row r="10">
      <c r="A10" s="10" t="inlineStr">
        <is>
          <t>CA111111-1111-4111-8111-111111111105</t>
        </is>
      </c>
      <c r="B10" s="11" t="inlineStr">
        <is>
          <t>Cocina</t>
        </is>
      </c>
      <c r="C10" s="11" t="inlineStr">
        <is>
          <t>Utensilios y menaje de cocina.</t>
        </is>
      </c>
      <c r="D10" s="307" t="b">
        <v>0</v>
      </c>
    </row>
    <row r="12">
      <c r="A12" s="124" t="inlineStr">
        <is>
          <t>Corresponde a los datos generales del objeto de dominio (nombre, descripción)</t>
        </is>
      </c>
      <c r="B12" s="124" t="n"/>
      <c r="C12" s="124" t="n"/>
      <c r="D12" s="124" t="n"/>
      <c r="E12" s="124" t="n"/>
      <c r="F12" s="124" t="n"/>
      <c r="G12" s="124" t="n"/>
      <c r="H12" s="124" t="n"/>
    </row>
    <row r="13">
      <c r="A13" s="269" t="inlineStr">
        <is>
          <t>Corresponde a las descripciones de los atributos</t>
        </is>
      </c>
    </row>
    <row r="14">
      <c r="A14" s="270" t="inlineStr">
        <is>
          <t>Coresponde al nombre de los atributos</t>
        </is>
      </c>
    </row>
    <row r="15">
      <c r="A15" s="125" t="inlineStr">
        <is>
          <t>Corresponde a los datos que son de libre ingreso (referencia, nombre, descripcion, precio y estado)</t>
        </is>
      </c>
      <c r="B15" s="125" t="n"/>
      <c r="C15" s="125" t="n"/>
      <c r="D15" s="125" t="n"/>
    </row>
    <row r="16">
      <c r="A16" s="306" t="inlineStr">
        <is>
          <t>Corresponde a los datos que se generarán automáticamente (idCategoria)</t>
        </is>
      </c>
    </row>
    <row r="17">
      <c r="A17" s="222" t="inlineStr">
        <is>
          <t>Corresponde a la combinación única 1</t>
        </is>
      </c>
    </row>
  </sheetData>
  <mergeCells count="9">
    <mergeCell ref="A1:C1"/>
    <mergeCell ref="A16:H16"/>
    <mergeCell ref="A13:H13"/>
    <mergeCell ref="B3:E3"/>
    <mergeCell ref="B2:E2"/>
    <mergeCell ref="A14:H14"/>
    <mergeCell ref="H1:K1"/>
    <mergeCell ref="E1:G1"/>
    <mergeCell ref="A17:H17"/>
  </mergeCells>
  <hyperlinks>
    <hyperlink ref="A1" location="'Modelo de dominio'!A1" display="&lt;&lt; Ir al modelo de dominio"/>
    <hyperlink ref="E1" location="ListadoObjetosDominio!A1" display="&lt;&lt; Ir al listado de objetos de dominio"/>
    <hyperlink ref="H1" location="'C-Categoria'!A1" display="&lt;&lt; Ir a la caracterización del objeto de dominio"/>
    <hyperlink ref="D6" location="'M-Categoria'!C6" display="'M-Categoria'!C6"/>
    <hyperlink ref="D7" location="'M-Categoria'!B7" display="'M-Categoria'!B7"/>
    <hyperlink ref="D8" location="'M-Categoria'!B8" display="'M-Categoria'!B8"/>
    <hyperlink ref="D9" location="'M-Categoria'!B9" display="'M-Categoria'!B9"/>
    <hyperlink ref="D10" location="'M-Categoria'!B10" display="'M-Categoria'!B1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"/>
  <sheetViews>
    <sheetView topLeftCell="A16" zoomScale="75" workbookViewId="0">
      <selection activeCell="A13" sqref="A13:K20"/>
    </sheetView>
  </sheetViews>
  <sheetFormatPr baseColWidth="8" defaultColWidth="11" defaultRowHeight="15.95"/>
  <cols>
    <col width="20.875" customWidth="1" style="354" min="1" max="1"/>
    <col width="71.375" customWidth="1" style="354" min="2" max="2"/>
    <col width="17.875" customWidth="1" style="354" min="4" max="4"/>
    <col width="16.875" customWidth="1" style="354" min="5" max="5"/>
    <col width="16.5" customWidth="1" style="354" min="6" max="6"/>
    <col width="47.375" bestFit="1" customWidth="1" style="354" min="7" max="7"/>
    <col width="18.125" bestFit="1" customWidth="1" style="354" min="9" max="9"/>
    <col width="22.375" bestFit="1" customWidth="1" style="354" min="10" max="10"/>
    <col width="31" customWidth="1" style="354" min="11" max="11"/>
    <col width="26.625" bestFit="1" customWidth="1" style="354" min="22" max="22"/>
    <col width="37.625" bestFit="1" customWidth="1" style="354" min="23" max="23"/>
    <col width="67.625" bestFit="1" customWidth="1" style="354" min="24" max="24"/>
    <col width="34" customWidth="1" style="354" min="25" max="25"/>
    <col width="20.375" bestFit="1" customWidth="1" style="354" min="26" max="26"/>
  </cols>
  <sheetData>
    <row r="1">
      <c r="A1" s="343" t="inlineStr">
        <is>
          <t>&lt;&lt; Ir al modelo de dominio</t>
        </is>
      </c>
      <c r="C1" s="343" t="n"/>
      <c r="D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3">
      <c r="A3" s="36" t="inlineStr">
        <is>
          <t>Nombre</t>
        </is>
      </c>
      <c r="B3" s="36">
        <f>'M-Categoria'!B2</f>
        <v/>
      </c>
      <c r="C3" s="37" t="n"/>
      <c r="D3" s="38" t="n"/>
      <c r="E3" s="38" t="n"/>
      <c r="F3" s="38" t="n"/>
      <c r="G3" s="38" t="n"/>
      <c r="H3" s="37" t="n"/>
      <c r="I3" s="37" t="n"/>
      <c r="J3" s="37" t="n"/>
      <c r="K3" s="37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9" t="n"/>
      <c r="W3" s="39" t="n"/>
      <c r="X3" s="39" t="n"/>
    </row>
    <row r="4">
      <c r="A4" s="36" t="inlineStr">
        <is>
          <t>Descripción</t>
        </is>
      </c>
      <c r="B4" s="36">
        <f>'M-Categoria'!B3</f>
        <v/>
      </c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9" t="n"/>
      <c r="W4" s="39" t="n"/>
      <c r="X4" s="39" t="n"/>
    </row>
    <row r="5">
      <c r="A5" s="40" t="inlineStr">
        <is>
          <t>Nombre atributo</t>
        </is>
      </c>
      <c r="B5" s="40" t="inlineStr">
        <is>
          <t>Descripción atributo</t>
        </is>
      </c>
      <c r="C5" s="40" t="inlineStr">
        <is>
          <t>Identificador del objeto de dominio</t>
        </is>
      </c>
      <c r="D5" s="40" t="inlineStr">
        <is>
          <t xml:space="preserve">Tipo de dato </t>
        </is>
      </c>
      <c r="E5" s="40" t="inlineStr">
        <is>
          <t>Obligatorio</t>
        </is>
      </c>
      <c r="F5" s="40" t="inlineStr">
        <is>
          <t xml:space="preserve"> Longitud minima(si aplica longitud maxima(si aplica)</t>
        </is>
      </c>
      <c r="G5" s="40" t="inlineStr">
        <is>
          <t xml:space="preserve"> Longitud maxima(si aplica longitud maxima(si aplica)</t>
        </is>
      </c>
      <c r="H5" s="40" t="inlineStr">
        <is>
          <t>Precisión (si aplica)</t>
        </is>
      </c>
      <c r="I5" s="40" t="inlineStr">
        <is>
          <t>Redondeo(si aplica)</t>
        </is>
      </c>
      <c r="J5" s="40" t="inlineStr">
        <is>
          <t>Rango inicial(si aplica)</t>
        </is>
      </c>
      <c r="K5" s="40" t="inlineStr">
        <is>
          <t>Rango final (si aplica)</t>
        </is>
      </c>
      <c r="L5" s="40" t="inlineStr">
        <is>
          <t>Formato(Si aplica)</t>
        </is>
      </c>
      <c r="M5" s="40" t="inlineStr">
        <is>
          <t>Reglas especiales(si aplica)</t>
        </is>
      </c>
      <c r="N5" s="40" t="inlineStr">
        <is>
          <t xml:space="preserve">Dato calculado </t>
        </is>
      </c>
      <c r="O5" s="40" t="inlineStr">
        <is>
          <t>Aplica ajuste del dato(si aplica)</t>
        </is>
      </c>
      <c r="P5" s="40" t="inlineStr">
        <is>
          <t>Carácter de ajuste(si aplica)</t>
        </is>
      </c>
      <c r="Q5" s="40" t="inlineStr">
        <is>
          <t>Quitar espacios en blanco al inicio(si aplica)</t>
        </is>
      </c>
      <c r="R5" s="40" t="inlineStr">
        <is>
          <t>Quitar espacios en blanco al fin(si aplica)</t>
        </is>
      </c>
      <c r="S5" s="40" t="inlineStr">
        <is>
          <t>Dato sensible(si aplica)</t>
        </is>
      </c>
      <c r="T5" s="40" t="inlineStr">
        <is>
          <t>Valor por defecto(si aplica)</t>
        </is>
      </c>
      <c r="U5" s="40" t="inlineStr">
        <is>
          <t>Auto generado</t>
        </is>
      </c>
      <c r="V5" s="100" t="inlineStr">
        <is>
          <t>Registrar una nueva categoría</t>
        </is>
      </c>
      <c r="W5" s="101" t="inlineStr">
        <is>
          <t>Consultar la información de las categorías</t>
        </is>
      </c>
      <c r="X5" s="101" t="inlineStr">
        <is>
          <t>Permite listar las categorías en la página web para filtrar y buscar productos.</t>
        </is>
      </c>
      <c r="Y5" s="102" t="inlineStr">
        <is>
          <t>Actualizar el nombre de una categoría</t>
        </is>
      </c>
      <c r="Z5" s="103" t="inlineStr">
        <is>
          <t>Eliminar una categoría</t>
        </is>
      </c>
    </row>
    <row r="6" ht="17.1" customHeight="1" s="354">
      <c r="A6" s="40">
        <f>'M-Categoria'!A5</f>
        <v/>
      </c>
      <c r="B6" s="40">
        <f>'M-Categoria'!A4</f>
        <v/>
      </c>
      <c r="C6" s="40" t="inlineStr">
        <is>
          <t>Si</t>
        </is>
      </c>
      <c r="D6" s="41" t="inlineStr">
        <is>
          <t>Alfanumerico</t>
        </is>
      </c>
      <c r="E6" s="40" t="inlineStr">
        <is>
          <t>Si</t>
        </is>
      </c>
      <c r="F6" s="40" t="n">
        <v>3</v>
      </c>
      <c r="G6" s="40" t="n">
        <v>20</v>
      </c>
      <c r="H6" s="40" t="n"/>
      <c r="I6" s="40" t="n"/>
      <c r="J6" s="40" t="n"/>
      <c r="K6" s="40" t="n"/>
      <c r="L6" s="40" t="inlineStr">
        <is>
          <t>Mayusculas</t>
        </is>
      </c>
      <c r="M6" s="40" t="n"/>
      <c r="N6" s="40" t="inlineStr">
        <is>
          <t>No</t>
        </is>
      </c>
      <c r="O6" s="40" t="inlineStr">
        <is>
          <t>No</t>
        </is>
      </c>
      <c r="P6" s="40" t="n"/>
      <c r="Q6" s="40" t="inlineStr">
        <is>
          <t>Si</t>
        </is>
      </c>
      <c r="R6" s="40" t="inlineStr">
        <is>
          <t>Si</t>
        </is>
      </c>
      <c r="S6" s="40" t="inlineStr">
        <is>
          <t>No</t>
        </is>
      </c>
      <c r="T6" s="40" t="n"/>
      <c r="U6" s="40" t="inlineStr">
        <is>
          <t>Si</t>
        </is>
      </c>
      <c r="V6" s="88" t="inlineStr">
        <is>
          <t>No requerido</t>
        </is>
      </c>
      <c r="W6" s="98" t="inlineStr">
        <is>
          <t>No Requerido</t>
        </is>
      </c>
      <c r="X6" s="98" t="inlineStr">
        <is>
          <t>No requerido</t>
        </is>
      </c>
      <c r="Y6" s="89" t="inlineStr">
        <is>
          <t>No requerido</t>
        </is>
      </c>
      <c r="Z6" s="99" t="inlineStr">
        <is>
          <t>No requerido</t>
        </is>
      </c>
    </row>
    <row r="7" ht="68.09999999999999" customHeight="1" s="354">
      <c r="A7" s="40">
        <f>'M-Categoria'!B5</f>
        <v/>
      </c>
      <c r="B7" s="40">
        <f>'M-Categoria'!B4</f>
        <v/>
      </c>
      <c r="C7" s="40" t="inlineStr">
        <is>
          <t>No</t>
        </is>
      </c>
      <c r="D7" s="40" t="inlineStr">
        <is>
          <t>Alfanumerico</t>
        </is>
      </c>
      <c r="E7" s="40" t="inlineStr">
        <is>
          <t>Si</t>
        </is>
      </c>
      <c r="F7" s="40" t="n">
        <v>3</v>
      </c>
      <c r="G7" s="40" t="n">
        <v>50</v>
      </c>
      <c r="H7" s="40" t="n"/>
      <c r="I7" s="40" t="n"/>
      <c r="J7" s="40" t="n"/>
      <c r="K7" s="40" t="n"/>
      <c r="L7" s="40" t="inlineStr">
        <is>
          <t>Capitalizado</t>
        </is>
      </c>
      <c r="M7" s="41" t="inlineStr">
        <is>
          <t>Nombre comercial de la categoría</t>
        </is>
      </c>
      <c r="N7" s="40" t="inlineStr">
        <is>
          <t>No</t>
        </is>
      </c>
      <c r="O7" s="40" t="inlineStr">
        <is>
          <t>No</t>
        </is>
      </c>
      <c r="P7" s="40" t="n"/>
      <c r="Q7" s="40" t="inlineStr">
        <is>
          <t>Si</t>
        </is>
      </c>
      <c r="R7" s="40" t="inlineStr">
        <is>
          <t>Si</t>
        </is>
      </c>
      <c r="S7" s="40" t="inlineStr">
        <is>
          <t>No</t>
        </is>
      </c>
      <c r="T7" s="40" t="inlineStr">
        <is>
          <t>Activo</t>
        </is>
      </c>
      <c r="U7" s="40" t="inlineStr">
        <is>
          <t>No</t>
        </is>
      </c>
      <c r="V7" s="88" t="inlineStr">
        <is>
          <t>Requerido</t>
        </is>
      </c>
      <c r="W7" s="98" t="inlineStr">
        <is>
          <t>Requerido</t>
        </is>
      </c>
      <c r="X7" s="98" t="inlineStr">
        <is>
          <t>Requerido</t>
        </is>
      </c>
      <c r="Y7" s="89" t="inlineStr">
        <is>
          <t>Requerido</t>
        </is>
      </c>
      <c r="Z7" s="99" t="inlineStr">
        <is>
          <t>Requerido</t>
        </is>
      </c>
    </row>
    <row r="8" ht="84.95" customHeight="1" s="354">
      <c r="A8" s="40">
        <f>'M-Categoria'!C5</f>
        <v/>
      </c>
      <c r="B8" s="40">
        <f>'M-Categoria'!C4</f>
        <v/>
      </c>
      <c r="C8" s="40" t="inlineStr">
        <is>
          <t>No</t>
        </is>
      </c>
      <c r="D8" s="40" t="inlineStr">
        <is>
          <t>Texto</t>
        </is>
      </c>
      <c r="E8" s="40" t="inlineStr">
        <is>
          <t>Si</t>
        </is>
      </c>
      <c r="F8" s="40" t="n">
        <v>5</v>
      </c>
      <c r="G8" s="40" t="n">
        <v>15</v>
      </c>
      <c r="H8" s="40" t="n"/>
      <c r="I8" s="40" t="n"/>
      <c r="J8" s="40" t="n"/>
      <c r="K8" s="40" t="n"/>
      <c r="L8" s="40" t="inlineStr">
        <is>
          <t>Primera Mayuscula</t>
        </is>
      </c>
      <c r="M8" s="41" t="inlineStr">
        <is>
          <t>Solo permite valores 'Activo' o 'Inactivo'</t>
        </is>
      </c>
      <c r="N8" s="40" t="inlineStr">
        <is>
          <t>No</t>
        </is>
      </c>
      <c r="O8" s="40" t="inlineStr">
        <is>
          <t>No</t>
        </is>
      </c>
      <c r="P8" s="40" t="n"/>
      <c r="Q8" s="40" t="inlineStr">
        <is>
          <t>Si</t>
        </is>
      </c>
      <c r="R8" s="40" t="inlineStr">
        <is>
          <t>Si</t>
        </is>
      </c>
      <c r="S8" s="40" t="inlineStr">
        <is>
          <t>No</t>
        </is>
      </c>
      <c r="T8" s="40" t="inlineStr">
        <is>
          <t>Activo</t>
        </is>
      </c>
      <c r="U8" s="40" t="inlineStr">
        <is>
          <t>No</t>
        </is>
      </c>
      <c r="V8" s="88" t="n"/>
      <c r="W8" s="98" t="n"/>
      <c r="X8" s="98" t="n"/>
      <c r="Y8" s="89" t="n"/>
      <c r="Z8" s="99" t="n"/>
    </row>
    <row r="9">
      <c r="V9" s="39" t="n"/>
      <c r="W9" s="39" t="n"/>
      <c r="X9" s="39" t="n"/>
    </row>
    <row r="10" ht="32.1" customHeight="1" s="354">
      <c r="A10" s="44" t="inlineStr">
        <is>
          <t>Nombre combinación unica</t>
        </is>
      </c>
      <c r="B10" s="44" t="inlineStr">
        <is>
          <t>Descripción</t>
        </is>
      </c>
      <c r="C10" s="44" t="inlineStr">
        <is>
          <t>Atributos involucrados</t>
        </is>
      </c>
    </row>
    <row r="11" ht="17.1" customHeight="1" s="354">
      <c r="A11" s="42">
        <f>'M-Categoria'!D5</f>
        <v/>
      </c>
      <c r="B11" s="56">
        <f>'M-Categoria'!D4</f>
        <v/>
      </c>
      <c r="C11" s="42">
        <f>'M-Categoria'!B5</f>
        <v/>
      </c>
    </row>
    <row r="13" ht="15.75" customHeight="1" s="354">
      <c r="A13" s="255" t="inlineStr">
        <is>
          <t>Responsabilidad</t>
        </is>
      </c>
      <c r="B13" s="255" t="inlineStr">
        <is>
          <t>Descripción</t>
        </is>
      </c>
      <c r="C13" s="255" t="inlineStr">
        <is>
          <t>Entradas</t>
        </is>
      </c>
      <c r="D13" s="364" t="n"/>
      <c r="E13" s="360" t="n"/>
      <c r="F13" s="255" t="inlineStr">
        <is>
          <t>Salida</t>
        </is>
      </c>
      <c r="G13" s="360" t="n"/>
      <c r="H13" s="255" t="inlineStr">
        <is>
          <t>Políticas (Reglas de Negocio)</t>
        </is>
      </c>
      <c r="I13" s="360" t="n"/>
      <c r="J13" s="255" t="inlineStr">
        <is>
          <t xml:space="preserve">Excepción </t>
        </is>
      </c>
      <c r="K13" s="360" t="n"/>
    </row>
    <row r="14" ht="15.75" customHeight="1" s="354">
      <c r="A14" s="365" t="n"/>
      <c r="B14" s="365" t="n"/>
      <c r="C14" s="255" t="inlineStr">
        <is>
          <t>Parámettro</t>
        </is>
      </c>
      <c r="D14" s="255" t="inlineStr">
        <is>
          <t xml:space="preserve">Tipo de dato </t>
        </is>
      </c>
      <c r="E14" s="255" t="inlineStr">
        <is>
          <t>Descripci</t>
        </is>
      </c>
      <c r="F14" s="255" t="inlineStr">
        <is>
          <t>Tipo de Dato</t>
        </is>
      </c>
      <c r="G14" s="255" t="inlineStr">
        <is>
          <t>Descripción</t>
        </is>
      </c>
      <c r="H14" s="255" t="inlineStr">
        <is>
          <t>Política</t>
        </is>
      </c>
      <c r="I14" s="255" t="inlineStr">
        <is>
          <t>Descripción</t>
        </is>
      </c>
      <c r="J14" s="255" t="inlineStr">
        <is>
          <t>Detalle</t>
        </is>
      </c>
      <c r="K14" s="255" t="inlineStr">
        <is>
          <t>¿Qué hago?</t>
        </is>
      </c>
    </row>
    <row r="15" ht="63" customHeight="1" s="354">
      <c r="A15" s="261">
        <f>'E-Categoria'!B7</f>
        <v/>
      </c>
      <c r="B15" s="261">
        <f>'E-Categoria'!C7</f>
        <v/>
      </c>
      <c r="C15" s="256" t="inlineStr">
        <is>
          <t>categoriaNueva</t>
        </is>
      </c>
      <c r="D15" s="256" t="inlineStr">
        <is>
          <t>Categoría</t>
        </is>
      </c>
      <c r="E15" s="257" t="inlineStr">
        <is>
          <t>Contiene la información de la nueva categoría a registrar.</t>
        </is>
      </c>
      <c r="F15" s="256" t="inlineStr">
        <is>
          <t>Logico</t>
        </is>
      </c>
      <c r="G15" s="256" t="inlineStr">
        <is>
          <t>Retorna verdadero si la categoría se agregó correctamente al sistema.</t>
        </is>
      </c>
      <c r="H15" s="197">
        <f>'E-Categoria'!G7</f>
        <v/>
      </c>
      <c r="I15" s="198">
        <f>'E-Categoria'!H7</f>
        <v/>
      </c>
      <c r="J15" s="197" t="inlineStr">
        <is>
          <t>Generar excepción indicando qué campo no cumple con el formato o es obligatorio.</t>
        </is>
      </c>
      <c r="K15" s="197" t="inlineStr">
        <is>
          <t>Detener operación</t>
        </is>
      </c>
    </row>
    <row r="16" ht="57.75" customHeight="1" s="354">
      <c r="A16" s="365" t="n"/>
      <c r="B16" s="365" t="n"/>
      <c r="C16" s="365" t="n"/>
      <c r="D16" s="365" t="n"/>
      <c r="E16" s="365" t="n"/>
      <c r="F16" s="365" t="n"/>
      <c r="G16" s="365" t="n"/>
      <c r="H16" s="197">
        <f>'E-Categoria'!G8</f>
        <v/>
      </c>
      <c r="I16" s="198">
        <f>'E-Categoria'!H8</f>
        <v/>
      </c>
      <c r="J16" s="197" t="inlineStr">
        <is>
          <t>Generar excepción indicando que ya existe otra categoría registrada con ese mismo nombre.</t>
        </is>
      </c>
      <c r="K16" s="197" t="inlineStr">
        <is>
          <t>Detener operación</t>
        </is>
      </c>
    </row>
    <row r="17" ht="77.25" customHeight="1" s="354">
      <c r="A17" s="346">
        <f>'E-Categoria'!B9</f>
        <v/>
      </c>
      <c r="B17" s="346">
        <f>'E-Categoria'!C9</f>
        <v/>
      </c>
      <c r="C17" s="346" t="inlineStr">
        <is>
          <t>ategoriaModificada</t>
        </is>
      </c>
      <c r="D17" s="346" t="inlineStr">
        <is>
          <t>Categoría</t>
        </is>
      </c>
      <c r="E17" s="346" t="inlineStr">
        <is>
          <t>Contiene la nueva información de la categoría a actualizar.</t>
        </is>
      </c>
      <c r="F17" s="346" t="inlineStr">
        <is>
          <t>Logico</t>
        </is>
      </c>
      <c r="G17" s="346" t="inlineStr">
        <is>
          <t>Retorna verdadero si la categoría se modificó exitosamente.</t>
        </is>
      </c>
      <c r="H17" s="346">
        <f>'E-Categoria'!G9</f>
        <v/>
      </c>
      <c r="I17" s="346">
        <f>'E-Categoria'!H9</f>
        <v/>
      </c>
      <c r="J17" s="346" t="inlineStr">
        <is>
          <t>Generar excepción indicando que la categoría que se intenta modificar no existe en la base de datos.</t>
        </is>
      </c>
      <c r="K17" s="346" t="inlineStr">
        <is>
          <t>Detener operación</t>
        </is>
      </c>
    </row>
    <row r="18" ht="57.75" customHeight="1" s="354">
      <c r="A18" s="260">
        <f>'E-Categoria'!B10</f>
        <v/>
      </c>
      <c r="B18" s="260">
        <f>'E-Categoria'!C10</f>
        <v/>
      </c>
      <c r="C18" s="259" t="inlineStr">
        <is>
          <t>idCategoria</t>
        </is>
      </c>
      <c r="D18" s="259" t="inlineStr">
        <is>
          <t>alfanumerico</t>
        </is>
      </c>
      <c r="E18" s="259" t="inlineStr">
        <is>
          <t>Identificador exacto de la categoría que se desea borrar.</t>
        </is>
      </c>
      <c r="F18" s="259" t="inlineStr">
        <is>
          <t>Logico</t>
        </is>
      </c>
      <c r="G18" s="259" t="inlineStr">
        <is>
          <t>Retorna verdadero si la categoría fue eliminada correctamente.</t>
        </is>
      </c>
      <c r="H18" s="259">
        <f>'E-Categoria'!G10</f>
        <v/>
      </c>
      <c r="I18" s="259">
        <f>'E-Categoria'!H10</f>
        <v/>
      </c>
      <c r="J18" s="259" t="inlineStr">
        <is>
          <t>Generar excepción indicando que la categoría a borrar no se encuentra registrada.</t>
        </is>
      </c>
      <c r="K18" s="259" t="inlineStr">
        <is>
          <t>Detener operación</t>
        </is>
      </c>
    </row>
    <row r="19" ht="87" customHeight="1" s="354">
      <c r="A19" s="365" t="n"/>
      <c r="B19" s="365" t="n"/>
      <c r="C19" s="365" t="n"/>
      <c r="D19" s="365" t="n"/>
      <c r="E19" s="365" t="n"/>
      <c r="F19" s="365" t="n"/>
      <c r="G19" s="365" t="n"/>
      <c r="H19" s="259">
        <f>'E-Categoria'!G11</f>
        <v/>
      </c>
      <c r="I19" s="259">
        <f>'E-Categoria'!H11</f>
        <v/>
      </c>
      <c r="J19" s="259" t="inlineStr">
        <is>
          <t>Generar excepción indicando que la categoría está en uso por productos existentes y no puede ser eliminada.</t>
        </is>
      </c>
      <c r="K19" s="259" t="inlineStr">
        <is>
          <t>Detener operación</t>
        </is>
      </c>
    </row>
    <row r="20" ht="87" customHeight="1" s="354">
      <c r="A20" s="201">
        <f>'E-Categoria'!B12</f>
        <v/>
      </c>
      <c r="B20" s="201">
        <f>'E-Categoria'!C12</f>
        <v/>
      </c>
      <c r="C20" s="196" t="inlineStr">
        <is>
          <t>filtros</t>
        </is>
      </c>
      <c r="D20" s="191" t="inlineStr">
        <is>
          <t>Texto</t>
        </is>
      </c>
      <c r="E20" s="191" t="inlineStr">
        <is>
          <t>Parámetros opcionales para filtrar la búsqueda de categorías.</t>
        </is>
      </c>
      <c r="F20" s="191" t="inlineStr">
        <is>
          <t>Lista&lt;Categoría&gt;</t>
        </is>
      </c>
      <c r="G20" s="192" t="inlineStr">
        <is>
          <t>Retorna una colección con los objetos de las categorías encontradas.</t>
        </is>
      </c>
      <c r="H20" s="191">
        <f>'E-Categoria'!G12</f>
        <v/>
      </c>
      <c r="I20" s="191">
        <f>'E-Categoria'!H12</f>
        <v/>
      </c>
      <c r="J20" s="193" t="inlineStr">
        <is>
          <t>Generar excepción indicando que los parámetros de búsqueda tienen un formato incorrecto.</t>
        </is>
      </c>
      <c r="K20" s="193" t="inlineStr">
        <is>
          <t>Detener operación</t>
        </is>
      </c>
    </row>
    <row r="21" ht="15.75" customHeight="1" s="354"/>
    <row r="22" ht="15.75" customHeight="1" s="354"/>
  </sheetData>
  <mergeCells count="23">
    <mergeCell ref="F15:F16"/>
    <mergeCell ref="B18:B19"/>
    <mergeCell ref="G1:J1"/>
    <mergeCell ref="A1:B1"/>
    <mergeCell ref="J13:K13"/>
    <mergeCell ref="F18:F19"/>
    <mergeCell ref="B13:B14"/>
    <mergeCell ref="E15:E16"/>
    <mergeCell ref="G15:G16"/>
    <mergeCell ref="A18:A19"/>
    <mergeCell ref="G18:G19"/>
    <mergeCell ref="B15:B16"/>
    <mergeCell ref="D15:D16"/>
    <mergeCell ref="C13:E13"/>
    <mergeCell ref="D18:D19"/>
    <mergeCell ref="A13:A14"/>
    <mergeCell ref="F13:G13"/>
    <mergeCell ref="H13:I13"/>
    <mergeCell ref="D1:F1"/>
    <mergeCell ref="E18:E19"/>
    <mergeCell ref="A15:A16"/>
    <mergeCell ref="C15:C16"/>
    <mergeCell ref="C18:C19"/>
  </mergeCells>
  <hyperlinks>
    <hyperlink ref="A1" location="'Modelo de dominio'!A1" display="&lt;&lt; Ir al modelo de dominio"/>
    <hyperlink ref="D1" location="ListadoObjetosDominio!A1" display="&lt;&lt; Ir al listado de objetos de dominio"/>
    <hyperlink ref="G1" location="'C-Departamento'!A1" display="&lt;&lt; Ir a la caracterización del objeto de dominio"/>
    <hyperlink ref="V5" location="'C-Categoria'!A15" display="Registrar una nueva categoría"/>
    <hyperlink ref="W5" location="'C-Categoria'!A16" display="Consultar la información de las categorías"/>
    <hyperlink ref="X5" location="'C-Categoria'!A17" display="Permite listar las categorías en la página web para filtrar y buscar productos."/>
    <hyperlink ref="Y5" location="'C-Categoria'!A17" display="Actualizar el nombre de una categoría"/>
    <hyperlink ref="Z5" location="'C-Categoria'!A18" display="Eliminar una categoría"/>
    <hyperlink ref="A17" location="RANGE!W4" display="Eliminar de forma definitiva la información de un nuevo País"/>
    <hyperlink ref="A18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topLeftCell="C6" zoomScale="88" workbookViewId="0">
      <selection activeCell="H12" sqref="H12"/>
    </sheetView>
  </sheetViews>
  <sheetFormatPr baseColWidth="8" defaultColWidth="8.875" defaultRowHeight="15"/>
  <cols>
    <col width="16.5" customWidth="1" style="359" min="1" max="1"/>
    <col width="30" customWidth="1" style="359" min="2" max="2"/>
    <col width="40" customWidth="1" style="359" min="3" max="3"/>
    <col width="19.125" customWidth="1" style="359" min="4" max="4"/>
    <col width="25" customWidth="1" style="359" min="5" max="5"/>
    <col width="41.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23" customWidth="1" style="359" min="11" max="11"/>
    <col hidden="1" width="0.125" customWidth="1" style="359" min="12" max="12"/>
    <col hidden="1" width="8.875" customWidth="1" style="359" min="13" max="13"/>
    <col width="8.875" customWidth="1" style="359" min="14" max="16384"/>
  </cols>
  <sheetData>
    <row r="1" ht="15.95" customHeight="1" s="354">
      <c r="A1" s="4" t="inlineStr">
        <is>
          <t>&lt;&lt; Ir al modelo de dominio</t>
        </is>
      </c>
      <c r="D1" s="4" t="inlineStr">
        <is>
          <t>&lt;&lt; Ir al listado de objetos de dominio</t>
        </is>
      </c>
      <c r="H1" s="4" t="inlineStr">
        <is>
          <t>&lt;&lt; Ir a la caracterización del objeto de dominio</t>
        </is>
      </c>
      <c r="L1" s="63" t="inlineStr">
        <is>
          <t>Ir al muestreo de datos del objeto de dominio &gt;&gt;</t>
        </is>
      </c>
    </row>
    <row r="2">
      <c r="A2" s="65" t="inlineStr">
        <is>
          <t>Objeto de Dominio:</t>
        </is>
      </c>
      <c r="B2" s="355">
        <f>ListadoObjetosDominio!B6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361" t="n"/>
      <c r="L2" s="361" t="n"/>
      <c r="M2" s="91" t="n"/>
    </row>
    <row r="3">
      <c r="A3" s="65" t="inlineStr">
        <is>
          <t>Descripción:</t>
        </is>
      </c>
      <c r="B3" s="355">
        <f>ListadoObjetosDominio!C6</f>
        <v/>
      </c>
      <c r="C3" s="361" t="n"/>
      <c r="D3" s="361" t="n"/>
      <c r="E3" s="361" t="n"/>
      <c r="F3" s="361" t="n"/>
      <c r="G3" s="361" t="n"/>
      <c r="H3" s="361" t="n"/>
      <c r="I3" s="361" t="n"/>
      <c r="J3" s="361" t="n"/>
      <c r="K3" s="361" t="n"/>
      <c r="L3" s="361" t="n"/>
      <c r="M3" s="91" t="n"/>
    </row>
    <row r="4" ht="30" customHeight="1" s="354">
      <c r="A4" s="66" t="inlineStr">
        <is>
          <t>Actor</t>
        </is>
      </c>
      <c r="B4" s="368" t="inlineStr">
        <is>
          <t>Action/Command</t>
        </is>
      </c>
      <c r="C4" s="91" t="n"/>
      <c r="D4" s="67" t="inlineStr">
        <is>
          <t>Entity/Aggregate/Object domain</t>
        </is>
      </c>
      <c r="E4" s="71" t="inlineStr">
        <is>
          <t>Read Model</t>
        </is>
      </c>
      <c r="F4" s="91" t="n"/>
      <c r="G4" s="369" t="inlineStr">
        <is>
          <t>Business Rule/Policy</t>
        </is>
      </c>
      <c r="H4" s="91" t="n"/>
      <c r="I4" s="68" t="inlineStr">
        <is>
          <t>External System</t>
        </is>
      </c>
      <c r="J4" s="69" t="inlineStr">
        <is>
          <t>Domain Event</t>
        </is>
      </c>
      <c r="K4" s="70" t="inlineStr">
        <is>
          <t>Hotspot/questions/Risk</t>
        </is>
      </c>
    </row>
    <row r="5" ht="27.95" customHeight="1" s="354">
      <c r="A5" s="66" t="inlineStr">
        <is>
          <t>Actor</t>
        </is>
      </c>
      <c r="B5" s="368" t="inlineStr">
        <is>
          <t>Acción</t>
        </is>
      </c>
      <c r="C5" s="368" t="inlineStr">
        <is>
          <t>Descripción</t>
        </is>
      </c>
      <c r="D5" s="67" t="inlineStr">
        <is>
          <t>Objeto de dominio</t>
        </is>
      </c>
      <c r="E5" s="71" t="inlineStr">
        <is>
          <t>Información externa</t>
        </is>
      </c>
      <c r="F5" s="91" t="n"/>
      <c r="G5" s="72" t="inlineStr">
        <is>
          <t>Políticas</t>
        </is>
      </c>
      <c r="H5" s="91" t="n"/>
      <c r="I5" s="370" t="inlineStr">
        <is>
          <t>Sistema Externo</t>
        </is>
      </c>
      <c r="J5" s="371" t="inlineStr">
        <is>
          <t>Evento</t>
        </is>
      </c>
      <c r="K5" s="372" t="inlineStr">
        <is>
          <t>Aspectos por solucionar</t>
        </is>
      </c>
    </row>
    <row r="6">
      <c r="A6" s="373" t="n"/>
      <c r="B6" s="362" t="n"/>
      <c r="C6" s="362" t="n"/>
      <c r="D6" s="362" t="n"/>
      <c r="E6" s="71" t="inlineStr">
        <is>
          <t>Información</t>
        </is>
      </c>
      <c r="F6" s="71" t="inlineStr">
        <is>
          <t>Descripción</t>
        </is>
      </c>
      <c r="G6" s="72" t="inlineStr">
        <is>
          <t>Número</t>
        </is>
      </c>
      <c r="H6" s="72" t="inlineStr">
        <is>
          <t>Descripción</t>
        </is>
      </c>
      <c r="I6" s="362" t="n"/>
      <c r="J6" s="362" t="n"/>
      <c r="K6" s="362" t="n"/>
    </row>
    <row r="7" ht="65.09999999999999" customHeight="1" s="354">
      <c r="A7" s="6" t="inlineStr">
        <is>
          <t>Administrador</t>
        </is>
      </c>
      <c r="B7" s="6" t="inlineStr">
        <is>
          <t>Crear Categoria</t>
        </is>
      </c>
      <c r="C7" s="6" t="inlineStr">
        <is>
          <t>Permite ingresar al sistema una nueva categoría para agrupar los productos del catálogo.</t>
        </is>
      </c>
      <c r="D7" s="6">
        <f>ListadoObjetosDominio!B6</f>
        <v/>
      </c>
      <c r="E7" s="6" t="inlineStr">
        <is>
          <t>nombre, descripcion</t>
        </is>
      </c>
      <c r="F7" s="6" t="inlineStr">
        <is>
          <t>Formulario para ingresar el nombre y detalles de la nueva familia de productos.</t>
        </is>
      </c>
      <c r="G7" s="73" t="inlineStr">
        <is>
          <t>CAT-POL-01</t>
        </is>
      </c>
      <c r="H7" s="73" t="inlineStr">
        <is>
          <t>Asegurar que los datos requeridos sean válidos a nivel de tipo de dato, formato, longitud y obligatoriedad.</t>
        </is>
      </c>
      <c r="I7" s="6" t="inlineStr">
        <is>
          <t>Base de datos</t>
        </is>
      </c>
      <c r="J7" s="6" t="inlineStr">
        <is>
          <t>Categoría creada</t>
        </is>
      </c>
      <c r="K7" s="6" t="inlineStr">
        <is>
          <t>Riesgo de crear categorías duplicadas o con nombres muy similares que confundan al cliente.</t>
        </is>
      </c>
    </row>
    <row r="8" ht="65.09999999999999" customHeight="1" s="354">
      <c r="A8" s="362" t="n"/>
      <c r="B8" s="362" t="n"/>
      <c r="C8" s="362" t="n"/>
      <c r="D8" s="362" t="n"/>
      <c r="E8" s="362" t="n"/>
      <c r="F8" s="362" t="n"/>
      <c r="G8" s="73" t="inlineStr">
        <is>
          <t>CAT-POL-02</t>
        </is>
      </c>
      <c r="H8" s="73" t="inlineStr">
        <is>
          <t>El nombre de la categoría debe ser único en el sistema para evitar duplicidad.</t>
        </is>
      </c>
      <c r="I8" s="362" t="n"/>
      <c r="J8" s="362" t="n"/>
      <c r="K8" s="362" t="n"/>
    </row>
    <row r="9" ht="77.25" customHeight="1" s="354">
      <c r="A9" s="73" t="inlineStr">
        <is>
          <t>Administrador</t>
        </is>
      </c>
      <c r="B9" s="73" t="inlineStr">
        <is>
          <t>Modificar categoría</t>
        </is>
      </c>
      <c r="C9" s="73" t="inlineStr">
        <is>
          <t>Actualizar los detalles de una categoría existente (ej. corregir ortografía o ampliar la descripción).</t>
        </is>
      </c>
      <c r="D9" s="6">
        <f>ListadoObjetosDominio!B6</f>
        <v/>
      </c>
      <c r="E9" s="73" t="inlineStr">
        <is>
          <t>idCategoria, nombre, descripcion</t>
        </is>
      </c>
      <c r="F9" s="73" t="inlineStr">
        <is>
          <t>Formulario pre-poblado con la información actual de la categoría a editar.</t>
        </is>
      </c>
      <c r="G9" s="73" t="inlineStr">
        <is>
          <t>CAT-POL-03</t>
        </is>
      </c>
      <c r="H9" s="73" t="inlineStr">
        <is>
          <t>El idCategoria a modificar debe existir previamente en el sistema.</t>
        </is>
      </c>
      <c r="I9" s="73" t="inlineStr">
        <is>
          <t>Base de datos</t>
        </is>
      </c>
      <c r="J9" s="73" t="inlineStr">
        <is>
          <t>Categoría modificada</t>
        </is>
      </c>
      <c r="K9" s="73" t="inlineStr">
        <is>
          <t>Cambiar el nombre drásticamente podría desorientar a los clientes que buscan productos específicos.</t>
        </is>
      </c>
    </row>
    <row r="10" ht="65.09999999999999" customHeight="1" s="354">
      <c r="A10" s="6" t="inlineStr">
        <is>
          <t>Administrador</t>
        </is>
      </c>
      <c r="B10" s="6" t="inlineStr">
        <is>
          <t>Eliminar categoría</t>
        </is>
      </c>
      <c r="C10" s="6" t="inlineStr">
        <is>
          <t>Quitar una categoría del catálogo para que ya no esté disponible en la tienda.</t>
        </is>
      </c>
      <c r="D10" s="6">
        <f>ListadoObjetosDominio!B6</f>
        <v/>
      </c>
      <c r="E10" s="6" t="inlineStr">
        <is>
          <t>idCategoria</t>
        </is>
      </c>
      <c r="F10" s="6" t="inlineStr">
        <is>
          <t>Identificador de la agrupación que el administrador desea retirar.</t>
        </is>
      </c>
      <c r="G10" s="73" t="inlineStr">
        <is>
          <t>CAT-POL-04</t>
        </is>
      </c>
      <c r="H10" s="73" t="inlineStr">
        <is>
          <t>El idCategoria a eliminar debe existir previamente en el sistema.</t>
        </is>
      </c>
      <c r="I10" s="6" t="inlineStr">
        <is>
          <t>Base de datos</t>
        </is>
      </c>
      <c r="J10" s="6" t="inlineStr">
        <is>
          <t>Categoría eliminada</t>
        </is>
      </c>
      <c r="K10" s="6" t="inlineStr">
        <is>
          <t>Riesgo crítico: dejar productos "huérfanos". ¿Qué pasa con los productos si se borra su categoría?</t>
        </is>
      </c>
    </row>
    <row r="11" ht="46.5" customHeight="1" s="354">
      <c r="A11" s="362" t="n"/>
      <c r="B11" s="362" t="n"/>
      <c r="C11" s="362" t="n"/>
      <c r="D11" s="362" t="n"/>
      <c r="E11" s="362" t="n"/>
      <c r="F11" s="362" t="n"/>
      <c r="G11" s="73" t="inlineStr">
        <is>
          <t>CAT-POL-05</t>
        </is>
      </c>
      <c r="H11" s="73" t="inlineStr">
        <is>
          <t>El sistema debe impedir la eliminación de la categoría si esta tiene uno o más productos asociados actualmente.</t>
        </is>
      </c>
      <c r="I11" s="362" t="n"/>
      <c r="J11" s="362" t="n"/>
      <c r="K11" s="362" t="n"/>
      <c r="L11" s="73" t="n"/>
      <c r="M11" s="73" t="n"/>
    </row>
    <row r="12" ht="77.25" customHeight="1" s="354">
      <c r="A12" s="73" t="inlineStr">
        <is>
          <t>Cliente / Administrador</t>
        </is>
      </c>
      <c r="B12" s="73" t="inlineStr">
        <is>
          <t>Consultar categorías</t>
        </is>
      </c>
      <c r="C12" s="73" t="inlineStr">
        <is>
          <t>Listar las categorías disponibles para desplegarlas en el menú de navegación o panel administrativo.</t>
        </is>
      </c>
      <c r="D12" s="176" t="inlineStr">
        <is>
          <t>Categoría</t>
        </is>
      </c>
      <c r="E12" s="73" t="inlineStr">
        <is>
          <t>idCategoria, nombre, descripcion</t>
        </is>
      </c>
      <c r="F12" s="73" t="inlineStr">
        <is>
          <t>Menú visual en la tienda web o grilla en el panel de control del administrador.</t>
        </is>
      </c>
      <c r="G12" s="73" t="inlineStr">
        <is>
          <t>CAT-POL-06</t>
        </is>
      </c>
      <c r="H12" s="73" t="inlineStr">
        <is>
          <t>Asegurar que los datos requeridos sean válidos a nivel de tipo de dato, formato, longitud y obligatoriedad.</t>
        </is>
      </c>
      <c r="I12" s="73" t="inlineStr">
        <is>
          <t>Base de datos</t>
        </is>
      </c>
      <c r="J12" s="73" t="inlineStr">
        <is>
          <t>Categorías consultadas</t>
        </is>
      </c>
      <c r="K12" s="73" t="inlineStr">
        <is>
          <t>Si hay demasiadas categorías cargadas al mismo tiempo, el menú principal podría volverse inmanejable.</t>
        </is>
      </c>
      <c r="L12" s="73" t="n"/>
      <c r="M12" s="73" t="n"/>
    </row>
  </sheetData>
  <mergeCells count="32">
    <mergeCell ref="B2:M2"/>
    <mergeCell ref="E5:F5"/>
    <mergeCell ref="A7:A8"/>
    <mergeCell ref="I7:I8"/>
    <mergeCell ref="C10:C11"/>
    <mergeCell ref="E10:E11"/>
    <mergeCell ref="E4:F4"/>
    <mergeCell ref="D7:D8"/>
    <mergeCell ref="J7:J8"/>
    <mergeCell ref="B10:B11"/>
    <mergeCell ref="I5:I6"/>
    <mergeCell ref="A5:A6"/>
    <mergeCell ref="C7:C8"/>
    <mergeCell ref="G5:H5"/>
    <mergeCell ref="E7:E8"/>
    <mergeCell ref="K7:K8"/>
    <mergeCell ref="A10:A11"/>
    <mergeCell ref="B5:B6"/>
    <mergeCell ref="I10:I11"/>
    <mergeCell ref="K10:K11"/>
    <mergeCell ref="D5:D6"/>
    <mergeCell ref="G4:H4"/>
    <mergeCell ref="D10:D11"/>
    <mergeCell ref="J5:J6"/>
    <mergeCell ref="B3:M3"/>
    <mergeCell ref="B4:C4"/>
    <mergeCell ref="J10:J11"/>
    <mergeCell ref="B7:B8"/>
    <mergeCell ref="F7:F8"/>
    <mergeCell ref="F10:F11"/>
    <mergeCell ref="K5:K6"/>
    <mergeCell ref="C5:C6"/>
  </mergeCells>
  <hyperlinks>
    <hyperlink ref="A1" location="'Modelo de dominio'!A1" display="&lt;&lt; Ir al modelo de dominio"/>
    <hyperlink ref="D1" location="ListadoObjetosDominio!A1" display="&lt;&lt; Ir al listado de objetos de dominio"/>
    <hyperlink ref="H1" location="'C-Categoria'!A1" display="&lt;&lt; Ir a la caracterización del objeto de dominio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topLeftCell="B1" zoomScale="108" workbookViewId="0">
      <selection activeCell="B2" sqref="B2"/>
    </sheetView>
  </sheetViews>
  <sheetFormatPr baseColWidth="8" defaultColWidth="11" defaultRowHeight="15.95"/>
  <cols>
    <col width="27.5" customWidth="1" style="354" min="1" max="1"/>
    <col width="32.375" customWidth="1" style="354" min="2" max="2"/>
    <col width="31.125" customWidth="1" style="354" min="3" max="3"/>
    <col width="41.375" customWidth="1" style="354" min="4" max="4"/>
    <col width="77.125" bestFit="1" customWidth="1" style="354" min="5" max="6"/>
    <col width="35.375" bestFit="1" customWidth="1" style="354" min="7" max="7"/>
    <col width="27.5" bestFit="1" customWidth="1" style="354" min="8" max="8"/>
  </cols>
  <sheetData>
    <row r="1" ht="17.1" customHeight="1" s="354">
      <c r="A1" s="343" t="inlineStr">
        <is>
          <t>&lt;&lt; Ir al modelo de dominio</t>
        </is>
      </c>
      <c r="C1" s="343" t="n"/>
      <c r="D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2">
      <c r="A2" s="14" t="inlineStr">
        <is>
          <t>Nombre</t>
        </is>
      </c>
      <c r="B2" s="57">
        <f>ListadoObjetosDominio!B7</f>
        <v/>
      </c>
      <c r="C2" s="58" t="n"/>
      <c r="D2" s="58" t="n"/>
      <c r="E2" s="58" t="n"/>
      <c r="F2" s="58" t="n"/>
      <c r="G2" s="58" t="n"/>
      <c r="H2" s="58" t="n"/>
    </row>
    <row r="3" ht="15.95" customHeight="1" s="354">
      <c r="A3" s="14" t="inlineStr">
        <is>
          <t>Descripción</t>
        </is>
      </c>
      <c r="B3" s="353">
        <f>ListadoObjetosDominio!C7</f>
        <v/>
      </c>
    </row>
    <row r="4" ht="54.95" customHeight="1" s="354">
      <c r="A4" s="18" t="inlineStr">
        <is>
          <t>Identificador único universal (UUID) del producto.</t>
        </is>
      </c>
      <c r="B4" s="18" t="inlineStr">
        <is>
          <t>Referencia a la categoría a la que pertenece el producto.</t>
        </is>
      </c>
      <c r="C4" s="18" t="inlineStr">
        <is>
          <t>Nombre comercial del producto.</t>
        </is>
      </c>
      <c r="D4" s="18" t="inlineStr">
        <is>
          <t>Descripción detallada de las características del producto.</t>
        </is>
      </c>
      <c r="E4" s="18" t="inlineStr">
        <is>
          <t>Precio del producto en pesos colombianos (COP).</t>
        </is>
      </c>
      <c r="F4" s="18" t="inlineStr">
        <is>
          <t>Cantidad de unidades disponibles en inventario.</t>
        </is>
      </c>
      <c r="G4" s="18" t="inlineStr">
        <is>
          <t>Ruta relativa a la imagen representativa del producto (opcional).</t>
        </is>
      </c>
      <c r="H4" s="18" t="inlineStr">
        <is>
          <t>Indica si el producto está activo (true) o inactivo (false).</t>
        </is>
      </c>
    </row>
    <row r="5">
      <c r="A5" s="16" t="inlineStr">
        <is>
          <t>id</t>
        </is>
      </c>
      <c r="B5" s="16" t="inlineStr">
        <is>
          <t>categoria</t>
        </is>
      </c>
      <c r="C5" s="16" t="inlineStr">
        <is>
          <t>nombre</t>
        </is>
      </c>
      <c r="D5" s="16" t="inlineStr">
        <is>
          <t>descripcion</t>
        </is>
      </c>
      <c r="E5" s="16" t="inlineStr">
        <is>
          <t>precio</t>
        </is>
      </c>
      <c r="F5" s="16" t="inlineStr">
        <is>
          <t>stock</t>
        </is>
      </c>
      <c r="G5" s="16" t="inlineStr">
        <is>
          <t>imagenUrl</t>
        </is>
      </c>
      <c r="H5" s="19" t="inlineStr">
        <is>
          <t>estado</t>
        </is>
      </c>
    </row>
    <row r="6">
      <c r="A6" s="129" t="inlineStr">
        <is>
          <t>4F8A0001-2222-4333-8444-555566667701</t>
        </is>
      </c>
      <c r="B6" s="131" t="inlineStr">
        <is>
          <t>CA111111-1111-4111-8111-111111111101</t>
        </is>
      </c>
      <c r="C6" s="13" t="inlineStr">
        <is>
          <t>Lámpara decorativa NP5115</t>
        </is>
      </c>
      <c r="D6" s="13" t="inlineStr">
        <is>
          <t>Lámpara de mesa decorativa con base metálica y pantalla en tela.</t>
        </is>
      </c>
      <c r="E6" s="13" t="n">
        <v>89900</v>
      </c>
      <c r="F6" s="13" t="n">
        <v>25</v>
      </c>
      <c r="G6" s="13" t="inlineStr">
        <is>
          <t>img/Lampara_NP5115.png</t>
        </is>
      </c>
      <c r="H6" s="130" t="b">
        <v>1</v>
      </c>
    </row>
    <row r="7">
      <c r="A7" s="129" t="inlineStr">
        <is>
          <t>4F8A0001-2222-4333-8444-555566667702</t>
        </is>
      </c>
      <c r="B7" s="131" t="inlineStr">
        <is>
          <t>CA111111-1111-4111-8111-111111111103</t>
        </is>
      </c>
      <c r="C7" s="13" t="inlineStr">
        <is>
          <t>Sombrilla antiviento NP4292</t>
        </is>
      </c>
      <c r="D7" s="13" t="inlineStr">
        <is>
          <t>Sombrilla plegable antiviento con forro reforzado y mango ergonómico.</t>
        </is>
      </c>
      <c r="E7" s="13" t="n">
        <v>145000</v>
      </c>
      <c r="F7" s="13" t="n">
        <v>40</v>
      </c>
      <c r="G7" s="13" t="inlineStr">
        <is>
          <t>img/Sombrilla_antiviento_NP4292.png</t>
        </is>
      </c>
      <c r="H7" s="130" t="b">
        <v>1</v>
      </c>
    </row>
    <row r="8">
      <c r="A8" s="129" t="inlineStr">
        <is>
          <t>4F8A0001-2222-4333-8444-555566667703</t>
        </is>
      </c>
      <c r="B8" s="131" t="inlineStr">
        <is>
          <t>CA111111-1111-4111-8111-111111111102</t>
        </is>
      </c>
      <c r="C8" s="13" t="inlineStr">
        <is>
          <t>Gorra para hombre NP5275</t>
        </is>
      </c>
      <c r="D8" s="13" t="inlineStr">
        <is>
          <t>Gorra deportiva para hombre con visera curva y ajuste trasero.</t>
        </is>
      </c>
      <c r="E8" s="13" t="n">
        <v>35500</v>
      </c>
      <c r="F8" s="13" t="n">
        <v>60</v>
      </c>
      <c r="G8" s="13" t="inlineStr">
        <is>
          <t>img/Gorra_hombre_NP5275.png</t>
        </is>
      </c>
      <c r="H8" s="130" t="b">
        <v>1</v>
      </c>
    </row>
    <row r="9">
      <c r="A9" s="129" t="inlineStr">
        <is>
          <t>4F8A0001-2222-4333-8444-555566667704</t>
        </is>
      </c>
      <c r="B9" s="131" t="inlineStr">
        <is>
          <t>CA111111-1111-4111-8111-111111111105</t>
        </is>
      </c>
      <c r="C9" s="13" t="inlineStr">
        <is>
          <t>Set de cucharas inoxidables x 12</t>
        </is>
      </c>
      <c r="D9" s="13" t="inlineStr">
        <is>
          <t>Set de 12 cucharas en acero inoxidable con diseño labrado.</t>
        </is>
      </c>
      <c r="E9" s="13" t="n">
        <v>32000</v>
      </c>
      <c r="F9" s="13" t="n">
        <v>0</v>
      </c>
      <c r="G9" s="13" t="inlineStr"/>
      <c r="H9" s="130" t="b">
        <v>0</v>
      </c>
    </row>
    <row r="10">
      <c r="A10" s="129" t="inlineStr">
        <is>
          <t>4F8A0001-2222-4333-8444-555566667705</t>
        </is>
      </c>
      <c r="B10" s="131" t="inlineStr">
        <is>
          <t>CA111111-1111-4111-8111-111111111104</t>
        </is>
      </c>
      <c r="C10" s="13" t="inlineStr">
        <is>
          <t>Audífonos inalámbricos</t>
        </is>
      </c>
      <c r="D10" s="13" t="inlineStr">
        <is>
          <t>Audífonos bluetooth con cancelación de ruido y estuche de carga.</t>
        </is>
      </c>
      <c r="E10" s="13" t="n">
        <v>189900</v>
      </c>
      <c r="F10" s="13" t="n">
        <v>15</v>
      </c>
      <c r="G10" s="13" t="inlineStr"/>
      <c r="H10" s="130" t="b">
        <v>1</v>
      </c>
    </row>
    <row r="13">
      <c r="A13" s="124" t="inlineStr">
        <is>
          <t>Corresponde a los datos generales del objeto de dominio (nombre, descripción)</t>
        </is>
      </c>
      <c r="B13" s="124" t="n"/>
      <c r="C13" s="124" t="n"/>
      <c r="D13" s="124" t="n"/>
      <c r="E13" s="124" t="n"/>
      <c r="F13" s="124" t="n"/>
      <c r="G13" s="124" t="n"/>
      <c r="H13" s="124" t="n"/>
    </row>
    <row r="14">
      <c r="A14" s="269" t="inlineStr">
        <is>
          <t>Corresponde a las descripciones de los atributos</t>
        </is>
      </c>
    </row>
    <row r="15">
      <c r="A15" s="270" t="inlineStr">
        <is>
          <t>Coresponde al nombre de los atributos</t>
        </is>
      </c>
    </row>
    <row r="16">
      <c r="A16" s="125" t="inlineStr">
        <is>
          <t>Corresponde a los datos que son de libre ingreso (referencia, nombre, descripcion, precio y estado)</t>
        </is>
      </c>
      <c r="B16" s="125" t="n"/>
      <c r="C16" s="125" t="n"/>
      <c r="D16" s="125" t="n"/>
    </row>
    <row r="17">
      <c r="A17" s="320" t="inlineStr">
        <is>
          <t>Corresponde a referencias a otros objetos de dominio (idCategoria)</t>
        </is>
      </c>
    </row>
    <row r="18">
      <c r="A18" s="271" t="inlineStr">
        <is>
          <t>Corresponde a los datos que se generarán automáticamente (idProducto)</t>
        </is>
      </c>
    </row>
    <row r="19">
      <c r="A19" s="222" t="inlineStr">
        <is>
          <t>Corresponde a la combinación única 1</t>
        </is>
      </c>
    </row>
  </sheetData>
  <mergeCells count="9">
    <mergeCell ref="A18:H18"/>
    <mergeCell ref="A15:H15"/>
    <mergeCell ref="A19:H19"/>
    <mergeCell ref="A14:H14"/>
    <mergeCell ref="A1:B1"/>
    <mergeCell ref="G1:J1"/>
    <mergeCell ref="B3:H3"/>
    <mergeCell ref="D1:F1"/>
    <mergeCell ref="A17:H17"/>
  </mergeCells>
  <hyperlinks>
    <hyperlink ref="A1" location="'Modelo de dominio'!A1" display="&lt;&lt; Ir al modelo de dominio"/>
    <hyperlink ref="D1" location="ListadoObjetosDominio!A1" display="&lt;&lt; Ir al listado de objetos de dominio"/>
    <hyperlink ref="G1" location="'C-Departamento'!A1" display="&lt;&lt; Ir a la caracterización del objeto de dominio"/>
    <hyperlink ref="B6" location="'M-Categoria'!A6" display="'M-Categoria'!A6"/>
    <hyperlink ref="H6" location="'M-Producto'!C6" display="'M-Producto'!C6"/>
    <hyperlink ref="B7" location="'M-Categoria'!A7" display="'M-Categoria'!A7"/>
    <hyperlink ref="H7" location="'M-Producto'!C7" display="'M-Producto'!C7"/>
    <hyperlink ref="B8" location="'M-Categoria'!A8" display="'M-Categoria'!A8"/>
    <hyperlink ref="H8" location="'M-Producto'!C8" display="'M-Producto'!C8"/>
    <hyperlink ref="B9" location="'M-Categoria'!A9" display="'M-Categoria'!A9"/>
    <hyperlink ref="H9" location="'M-Producto'!C9" display="'M-Producto'!C9"/>
    <hyperlink ref="B10" location="'M-Categoria'!A8" display="'M-Categoria'!A8"/>
    <hyperlink ref="H10" location="'M-Producto'!C10" display="'M-Producto'!C10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"/>
  <sheetViews>
    <sheetView topLeftCell="A21" zoomScale="88" zoomScaleNormal="62" workbookViewId="0">
      <selection activeCell="J25" sqref="J25:K25"/>
    </sheetView>
  </sheetViews>
  <sheetFormatPr baseColWidth="8" defaultColWidth="11" defaultRowHeight="15.95"/>
  <cols>
    <col width="12.125" customWidth="1" style="354" min="1" max="1"/>
    <col width="107.625" customWidth="1" style="354" min="2" max="2"/>
    <col width="13.125" customWidth="1" style="354" min="3" max="3"/>
    <col width="12.375" customWidth="1" style="354" min="4" max="4"/>
    <col width="13.625" customWidth="1" style="354" min="6" max="6"/>
    <col width="11.625" customWidth="1" style="354" min="7" max="7"/>
    <col width="16.625" bestFit="1" customWidth="1" style="354" min="8" max="8"/>
    <col width="17.5" bestFit="1" customWidth="1" style="354" min="9" max="9"/>
    <col width="19.625" bestFit="1" customWidth="1" style="354" min="10" max="10"/>
    <col width="12" customWidth="1" style="354" min="13" max="13"/>
    <col width="13.5" bestFit="1" customWidth="1" style="354" min="21" max="21"/>
    <col width="25.5" bestFit="1" customWidth="1" style="354" min="22" max="22"/>
    <col width="35.625" bestFit="1" customWidth="1" style="354" min="23" max="24"/>
    <col width="34.375" bestFit="1" customWidth="1" style="354" min="25" max="25"/>
    <col width="19.375" bestFit="1" customWidth="1" style="354" min="26" max="26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'M-Producto'!B2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 ht="33.95" customHeight="1" s="354">
      <c r="A3" s="36" t="inlineStr">
        <is>
          <t>Descripción</t>
        </is>
      </c>
      <c r="B3" s="43">
        <f>'M-Producto'!B3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</row>
    <row r="4">
      <c r="A4" s="40" t="inlineStr">
        <is>
          <t>Nombre atributo</t>
        </is>
      </c>
      <c r="B4" s="40" t="inlineStr">
        <is>
          <t>Descripción atributo</t>
        </is>
      </c>
      <c r="C4" s="40" t="inlineStr">
        <is>
          <t>Identificador del objeto de dominio</t>
        </is>
      </c>
      <c r="D4" s="40" t="inlineStr">
        <is>
          <t xml:space="preserve">Tipo de dato </t>
        </is>
      </c>
      <c r="E4" s="40" t="inlineStr">
        <is>
          <t>Obligatorio</t>
        </is>
      </c>
      <c r="F4" s="40" t="inlineStr">
        <is>
          <t xml:space="preserve"> Longitud minima(si aplica longitud maxima(si aplica)</t>
        </is>
      </c>
      <c r="G4" s="40" t="inlineStr">
        <is>
          <t xml:space="preserve"> Longitud maxima(si aplica longitud maxima(si aplica)</t>
        </is>
      </c>
      <c r="H4" s="40" t="inlineStr">
        <is>
          <t>Precisión (si aplica)</t>
        </is>
      </c>
      <c r="I4" s="40" t="inlineStr">
        <is>
          <t>Redondeo(si aplica)</t>
        </is>
      </c>
      <c r="J4" s="40" t="inlineStr">
        <is>
          <t>Rango inicial(si aplica)</t>
        </is>
      </c>
      <c r="K4" s="40" t="inlineStr">
        <is>
          <t>Rango final (si aplica)</t>
        </is>
      </c>
      <c r="L4" s="40" t="inlineStr">
        <is>
          <t>Formato(Si aplica)</t>
        </is>
      </c>
      <c r="M4" s="40" t="inlineStr">
        <is>
          <t>Reglas especiales(si aplica)</t>
        </is>
      </c>
      <c r="N4" s="40" t="inlineStr">
        <is>
          <t xml:space="preserve">Dato calculado </t>
        </is>
      </c>
      <c r="O4" s="40" t="inlineStr">
        <is>
          <t>Aplica ajuste del dato(si aplica)</t>
        </is>
      </c>
      <c r="P4" s="40" t="inlineStr">
        <is>
          <t>Carácter de ajuste(si aplica)</t>
        </is>
      </c>
      <c r="Q4" s="40" t="inlineStr">
        <is>
          <t>Quitar espacios en blanco al inicio(si aplica)</t>
        </is>
      </c>
      <c r="R4" s="40" t="inlineStr">
        <is>
          <t>Quitar espacios en blanco al fin(si aplica)</t>
        </is>
      </c>
      <c r="S4" s="40" t="inlineStr">
        <is>
          <t>Dato sensible(si aplica)</t>
        </is>
      </c>
      <c r="T4" s="40" t="inlineStr">
        <is>
          <t>Valor por defecto(si aplica)</t>
        </is>
      </c>
      <c r="U4" s="40" t="inlineStr">
        <is>
          <t>Auto generado</t>
        </is>
      </c>
      <c r="V4" s="100" t="inlineStr">
        <is>
          <t>Registrar un nuevo producto</t>
        </is>
      </c>
      <c r="W4" s="101" t="inlineStr">
        <is>
          <t>Consultar la información de los productos</t>
        </is>
      </c>
      <c r="X4" s="101" t="inlineStr">
        <is>
          <t>Consultar la información de los productos</t>
        </is>
      </c>
      <c r="Y4" s="102" t="inlineStr">
        <is>
          <t>Actualizar la información de un producto</t>
        </is>
      </c>
      <c r="Z4" s="103" t="inlineStr">
        <is>
          <t>Eliminar un producto</t>
        </is>
      </c>
    </row>
    <row r="5" ht="17.1" customHeight="1" s="354">
      <c r="A5" s="40">
        <f>'M-Producto'!A5</f>
        <v/>
      </c>
      <c r="B5" s="40">
        <f>'M-Producto'!A4</f>
        <v/>
      </c>
      <c r="C5" s="40" t="inlineStr">
        <is>
          <t>Si</t>
        </is>
      </c>
      <c r="D5" s="41" t="inlineStr">
        <is>
          <t>Alfanumerico</t>
        </is>
      </c>
      <c r="E5" s="40" t="inlineStr">
        <is>
          <t>Si</t>
        </is>
      </c>
      <c r="F5" s="40" t="n">
        <v>1</v>
      </c>
      <c r="G5" s="40" t="n">
        <v>20</v>
      </c>
      <c r="H5" s="40" t="n"/>
      <c r="I5" s="40" t="n"/>
      <c r="J5" s="40" t="n"/>
      <c r="K5" s="40" t="n"/>
      <c r="L5" s="45" t="inlineStr">
        <is>
          <t>Mayusculas</t>
        </is>
      </c>
      <c r="M5" s="45" t="n"/>
      <c r="N5" s="40" t="inlineStr">
        <is>
          <t>No</t>
        </is>
      </c>
      <c r="O5" s="40" t="inlineStr">
        <is>
          <t>No</t>
        </is>
      </c>
      <c r="P5" s="40" t="n"/>
      <c r="Q5" s="40" t="inlineStr">
        <is>
          <t>Si</t>
        </is>
      </c>
      <c r="R5" s="40" t="inlineStr">
        <is>
          <t>Si</t>
        </is>
      </c>
      <c r="S5" s="40" t="inlineStr">
        <is>
          <t>No</t>
        </is>
      </c>
      <c r="T5" s="40" t="n"/>
      <c r="U5" s="40" t="inlineStr">
        <is>
          <t>Si</t>
        </is>
      </c>
      <c r="V5" s="88" t="inlineStr">
        <is>
          <t>No requerido</t>
        </is>
      </c>
      <c r="W5" s="98" t="inlineStr">
        <is>
          <t>No requerido</t>
        </is>
      </c>
      <c r="X5" s="98" t="inlineStr">
        <is>
          <t>No requerido</t>
        </is>
      </c>
      <c r="Y5" s="89" t="inlineStr">
        <is>
          <t>Requerido</t>
        </is>
      </c>
      <c r="Z5" s="99" t="inlineStr">
        <is>
          <t>Requerido</t>
        </is>
      </c>
    </row>
    <row r="6" ht="84" customHeight="1" s="354">
      <c r="A6" s="45">
        <f>'M-Producto'!B5</f>
        <v/>
      </c>
      <c r="B6" s="45">
        <f>'M-Producto'!B4</f>
        <v/>
      </c>
      <c r="C6" s="45" t="inlineStr">
        <is>
          <t>No</t>
        </is>
      </c>
      <c r="D6" s="165" t="inlineStr">
        <is>
          <t>&lt;Categoria&gt;</t>
        </is>
      </c>
      <c r="E6" s="45" t="inlineStr">
        <is>
          <t>Si</t>
        </is>
      </c>
      <c r="F6" s="45" t="n">
        <v>1</v>
      </c>
      <c r="G6" s="45" t="n">
        <v>50</v>
      </c>
      <c r="H6" s="45" t="n"/>
      <c r="I6" s="45" t="n"/>
      <c r="J6" s="45" t="n"/>
      <c r="K6" s="45" t="n"/>
      <c r="L6" s="45" t="n"/>
      <c r="M6" s="45" t="inlineStr">
        <is>
          <t>Debe corresponder a una categoría válida del catálogo</t>
        </is>
      </c>
      <c r="N6" s="45" t="inlineStr">
        <is>
          <t>No</t>
        </is>
      </c>
      <c r="O6" s="45" t="inlineStr">
        <is>
          <t>No</t>
        </is>
      </c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Requerido</t>
        </is>
      </c>
      <c r="W6" s="98" t="inlineStr">
        <is>
          <t>No requerido</t>
        </is>
      </c>
      <c r="X6" s="98" t="inlineStr">
        <is>
          <t>No requerido</t>
        </is>
      </c>
      <c r="Y6" s="89" t="inlineStr">
        <is>
          <t>Requerido</t>
        </is>
      </c>
      <c r="Z6" s="99" t="inlineStr">
        <is>
          <t>No requerido</t>
        </is>
      </c>
    </row>
    <row r="7" ht="84" customHeight="1" s="354">
      <c r="A7" s="45">
        <f>'M-Producto'!C5</f>
        <v/>
      </c>
      <c r="B7" s="45">
        <f>'M-Producto'!C4</f>
        <v/>
      </c>
      <c r="C7" s="45" t="inlineStr">
        <is>
          <t>No</t>
        </is>
      </c>
      <c r="D7" s="45" t="inlineStr">
        <is>
          <t>Alfanumerico</t>
        </is>
      </c>
      <c r="E7" s="45" t="inlineStr">
        <is>
          <t>Si</t>
        </is>
      </c>
      <c r="F7" s="45" t="n">
        <v>1</v>
      </c>
      <c r="G7" s="45" t="n">
        <v>100</v>
      </c>
      <c r="H7" s="45" t="n"/>
      <c r="I7" s="45" t="n"/>
      <c r="J7" s="45" t="n"/>
      <c r="K7" s="45" t="n"/>
      <c r="L7" s="45" t="inlineStr">
        <is>
          <t>Mayusculas</t>
        </is>
      </c>
      <c r="M7" s="45" t="inlineStr">
        <is>
          <t>Debe corresponder a una categoría válida del catálogo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Requerido</t>
        </is>
      </c>
      <c r="W7" s="98" t="inlineStr">
        <is>
          <t>No requerido</t>
        </is>
      </c>
      <c r="X7" s="98" t="inlineStr">
        <is>
          <t>No requerido</t>
        </is>
      </c>
      <c r="Y7" s="89" t="inlineStr">
        <is>
          <t>Requerido</t>
        </is>
      </c>
      <c r="Z7" s="99" t="inlineStr">
        <is>
          <t>No requerido</t>
        </is>
      </c>
    </row>
    <row r="8">
      <c r="A8" s="45">
        <f>'M-Producto'!D5</f>
        <v/>
      </c>
      <c r="B8" s="45">
        <f>'M-Producto'!D4</f>
        <v/>
      </c>
      <c r="C8" s="45" t="inlineStr">
        <is>
          <t>No</t>
        </is>
      </c>
      <c r="D8" s="45" t="inlineStr">
        <is>
          <t>Texto</t>
        </is>
      </c>
      <c r="E8" s="45" t="inlineStr">
        <is>
          <t>Si</t>
        </is>
      </c>
      <c r="F8" s="45" t="n">
        <v>5</v>
      </c>
      <c r="G8" s="45" t="n">
        <v>100</v>
      </c>
      <c r="H8" s="45" t="n"/>
      <c r="I8" s="45" t="n"/>
      <c r="J8" s="45" t="n"/>
      <c r="K8" s="45" t="n"/>
      <c r="L8" s="45" t="inlineStr">
        <is>
          <t>Capitalizado</t>
        </is>
      </c>
      <c r="M8" s="45" t="n"/>
      <c r="N8" s="45" t="inlineStr">
        <is>
          <t>No</t>
        </is>
      </c>
      <c r="O8" s="45" t="inlineStr">
        <is>
          <t>No</t>
        </is>
      </c>
      <c r="P8" s="45" t="n"/>
      <c r="Q8" s="45" t="inlineStr">
        <is>
          <t>Si</t>
        </is>
      </c>
      <c r="R8" s="45" t="inlineStr">
        <is>
          <t>Si</t>
        </is>
      </c>
      <c r="S8" s="45" t="inlineStr">
        <is>
          <t>No</t>
        </is>
      </c>
      <c r="T8" s="45" t="n"/>
      <c r="U8" s="45" t="inlineStr">
        <is>
          <t>No</t>
        </is>
      </c>
      <c r="V8" s="88" t="inlineStr">
        <is>
          <t>Requerido</t>
        </is>
      </c>
      <c r="W8" s="98" t="inlineStr">
        <is>
          <t>No requerido</t>
        </is>
      </c>
      <c r="X8" s="98" t="inlineStr">
        <is>
          <t>No requerido</t>
        </is>
      </c>
      <c r="Y8" s="89" t="inlineStr">
        <is>
          <t>Requerido</t>
        </is>
      </c>
      <c r="Z8" s="99" t="inlineStr">
        <is>
          <t>No requerido</t>
        </is>
      </c>
    </row>
    <row r="9" ht="56.1" customHeight="1" s="354">
      <c r="A9" s="45">
        <f>'M-Producto'!E5</f>
        <v/>
      </c>
      <c r="B9" s="45">
        <f>'M-Producto'!E4</f>
        <v/>
      </c>
      <c r="C9" s="45" t="inlineStr">
        <is>
          <t>No</t>
        </is>
      </c>
      <c r="D9" s="45" t="inlineStr">
        <is>
          <t>Numerico decimal</t>
        </is>
      </c>
      <c r="E9" s="45" t="inlineStr">
        <is>
          <t>Si</t>
        </is>
      </c>
      <c r="F9" s="45" t="n"/>
      <c r="G9" s="45" t="n"/>
      <c r="H9" s="45" t="n">
        <v>2</v>
      </c>
      <c r="I9" s="45" t="inlineStr">
        <is>
          <t>Truncamiento</t>
        </is>
      </c>
      <c r="J9" s="45" t="n">
        <v>1</v>
      </c>
      <c r="K9" s="45" t="n">
        <v>99999999</v>
      </c>
      <c r="L9" s="45" t="n"/>
      <c r="M9" s="45" t="inlineStr">
        <is>
          <t>El valor no puede ser menor o igual a cero</t>
        </is>
      </c>
      <c r="N9" s="45" t="inlineStr">
        <is>
          <t>No</t>
        </is>
      </c>
      <c r="O9" s="45" t="n"/>
      <c r="P9" s="45" t="n"/>
      <c r="Q9" s="45" t="n"/>
      <c r="R9" s="45" t="n"/>
      <c r="S9" s="45" t="inlineStr">
        <is>
          <t>No</t>
        </is>
      </c>
      <c r="T9" s="45" t="n"/>
      <c r="U9" s="45" t="inlineStr">
        <is>
          <t>No</t>
        </is>
      </c>
      <c r="V9" s="88" t="inlineStr">
        <is>
          <t>No requerido</t>
        </is>
      </c>
      <c r="W9" s="98" t="inlineStr">
        <is>
          <t>No requerido</t>
        </is>
      </c>
      <c r="X9" s="98" t="inlineStr">
        <is>
          <t>No requerido</t>
        </is>
      </c>
      <c r="Y9" s="89" t="inlineStr">
        <is>
          <t>No requerido</t>
        </is>
      </c>
      <c r="Z9" s="99" t="inlineStr">
        <is>
          <t>No requerido</t>
        </is>
      </c>
    </row>
    <row r="10">
      <c r="A10" s="45">
        <f>'M-Producto'!F5</f>
        <v/>
      </c>
      <c r="B10" s="45">
        <f>'M-Producto'!F4</f>
        <v/>
      </c>
      <c r="C10" s="45" t="inlineStr">
        <is>
          <t>No</t>
        </is>
      </c>
      <c r="D10" s="45" t="inlineStr">
        <is>
          <t>Texto</t>
        </is>
      </c>
      <c r="E10" s="45" t="inlineStr">
        <is>
          <t>No</t>
        </is>
      </c>
      <c r="F10" s="45" t="n">
        <v>0</v>
      </c>
      <c r="G10" s="45" t="n">
        <v>500</v>
      </c>
      <c r="H10" s="45" t="n"/>
      <c r="I10" s="45" t="n"/>
      <c r="J10" s="45" t="n"/>
      <c r="K10" s="45" t="n"/>
      <c r="L10" s="45" t="n"/>
      <c r="M10" s="45" t="n"/>
      <c r="N10" s="45" t="inlineStr">
        <is>
          <t>No</t>
        </is>
      </c>
      <c r="O10" s="45" t="inlineStr">
        <is>
          <t>No</t>
        </is>
      </c>
      <c r="P10" s="45" t="n"/>
      <c r="Q10" s="45" t="inlineStr">
        <is>
          <t>Si</t>
        </is>
      </c>
      <c r="R10" s="45" t="inlineStr">
        <is>
          <t>Si</t>
        </is>
      </c>
      <c r="S10" s="45" t="inlineStr">
        <is>
          <t>No</t>
        </is>
      </c>
      <c r="T10" s="45" t="n"/>
      <c r="U10" s="45" t="inlineStr">
        <is>
          <t>No</t>
        </is>
      </c>
      <c r="V10" s="88" t="inlineStr">
        <is>
          <t>No requerido</t>
        </is>
      </c>
      <c r="W10" s="98" t="inlineStr">
        <is>
          <t>No requerido</t>
        </is>
      </c>
      <c r="X10" s="98" t="inlineStr">
        <is>
          <t>No requerido</t>
        </is>
      </c>
      <c r="Y10" s="89" t="inlineStr">
        <is>
          <t>Requerido</t>
        </is>
      </c>
      <c r="Z10" s="99" t="inlineStr">
        <is>
          <t>No requerido</t>
        </is>
      </c>
    </row>
    <row r="11" ht="56.1" customHeight="1" s="354">
      <c r="A11" s="45">
        <f>'M-Producto'!G5</f>
        <v/>
      </c>
      <c r="B11" s="45">
        <f>'M-Producto'!G4</f>
        <v/>
      </c>
      <c r="C11" s="45" t="inlineStr">
        <is>
          <t>No</t>
        </is>
      </c>
      <c r="D11" s="45" t="inlineStr">
        <is>
          <t>Texto</t>
        </is>
      </c>
      <c r="E11" s="45" t="inlineStr">
        <is>
          <t>Si</t>
        </is>
      </c>
      <c r="F11" s="45" t="n">
        <v>5</v>
      </c>
      <c r="G11" s="45" t="n">
        <v>15</v>
      </c>
      <c r="H11" s="45" t="n"/>
      <c r="I11" s="45" t="n"/>
      <c r="J11" s="45" t="n"/>
      <c r="K11" s="45" t="n"/>
      <c r="L11" s="45" t="inlineStr">
        <is>
          <t>Capitalizado</t>
        </is>
      </c>
      <c r="M11" s="45" t="inlineStr">
        <is>
          <t>Solo permite los valores 'Activo' o 'Inactivo'</t>
        </is>
      </c>
      <c r="N11" s="45" t="inlineStr">
        <is>
          <t>No</t>
        </is>
      </c>
      <c r="O11" s="45" t="inlineStr">
        <is>
          <t>No</t>
        </is>
      </c>
      <c r="P11" s="45" t="n"/>
      <c r="Q11" s="45" t="inlineStr">
        <is>
          <t>No</t>
        </is>
      </c>
      <c r="R11" s="45" t="inlineStr">
        <is>
          <t>Si</t>
        </is>
      </c>
      <c r="S11" s="45" t="inlineStr">
        <is>
          <t>No</t>
        </is>
      </c>
      <c r="T11" s="45" t="inlineStr">
        <is>
          <t>Activo</t>
        </is>
      </c>
      <c r="U11" s="45" t="inlineStr">
        <is>
          <t>No</t>
        </is>
      </c>
      <c r="V11" s="88" t="inlineStr">
        <is>
          <t>Requerido</t>
        </is>
      </c>
      <c r="W11" s="98" t="inlineStr">
        <is>
          <t xml:space="preserve">No requerido </t>
        </is>
      </c>
      <c r="X11" s="98" t="inlineStr">
        <is>
          <t>No requerido</t>
        </is>
      </c>
      <c r="Y11" s="89" t="inlineStr">
        <is>
          <t>Requerido</t>
        </is>
      </c>
      <c r="Z11" s="99" t="inlineStr">
        <is>
          <t>No requerido</t>
        </is>
      </c>
    </row>
    <row r="13" ht="42" customHeight="1" s="354">
      <c r="A13" s="47" t="inlineStr">
        <is>
          <t>Nombre
combinación unica</t>
        </is>
      </c>
      <c r="B13" s="47" t="inlineStr">
        <is>
          <t>Descripción</t>
        </is>
      </c>
      <c r="C13" s="47" t="inlineStr">
        <is>
          <t>Atributos
involucrados</t>
        </is>
      </c>
    </row>
    <row r="14" ht="33.95" customHeight="1" s="354">
      <c r="A14" s="48">
        <f>'M-Producto'!H5</f>
        <v/>
      </c>
      <c r="B14" s="48">
        <f>'M-Producto'!H4</f>
        <v/>
      </c>
      <c r="C14" s="48">
        <f>'M-Producto'!C5</f>
        <v/>
      </c>
    </row>
    <row r="16" ht="15.75" customHeight="1" s="354">
      <c r="A16" s="255" t="inlineStr">
        <is>
          <t>Responsabilidad</t>
        </is>
      </c>
      <c r="B16" s="255" t="inlineStr">
        <is>
          <t>Descripción</t>
        </is>
      </c>
      <c r="C16" s="255" t="inlineStr">
        <is>
          <t>Entradas</t>
        </is>
      </c>
      <c r="D16" s="364" t="n"/>
      <c r="E16" s="360" t="n"/>
      <c r="F16" s="255" t="inlineStr">
        <is>
          <t>Salida</t>
        </is>
      </c>
      <c r="G16" s="360" t="n"/>
      <c r="H16" s="255" t="inlineStr">
        <is>
          <t>Políticas (Reglas de Negocio)</t>
        </is>
      </c>
      <c r="I16" s="360" t="n"/>
      <c r="J16" s="255" t="inlineStr">
        <is>
          <t xml:space="preserve">Excepción </t>
        </is>
      </c>
      <c r="K16" s="360" t="n"/>
    </row>
    <row r="17" ht="15.75" customHeight="1" s="354">
      <c r="A17" s="365" t="n"/>
      <c r="B17" s="365" t="n"/>
      <c r="C17" s="255" t="inlineStr">
        <is>
          <t>Parámettro</t>
        </is>
      </c>
      <c r="D17" s="255" t="inlineStr">
        <is>
          <t xml:space="preserve">Tipo de dato </t>
        </is>
      </c>
      <c r="E17" s="255" t="inlineStr">
        <is>
          <t>Descripci</t>
        </is>
      </c>
      <c r="F17" s="255" t="inlineStr">
        <is>
          <t>Tipo de Dato</t>
        </is>
      </c>
      <c r="G17" s="255" t="inlineStr">
        <is>
          <t>Descripción</t>
        </is>
      </c>
      <c r="H17" s="255" t="inlineStr">
        <is>
          <t>Política</t>
        </is>
      </c>
      <c r="I17" s="255" t="inlineStr">
        <is>
          <t>Descripción</t>
        </is>
      </c>
      <c r="J17" s="255" t="inlineStr">
        <is>
          <t>Detalle</t>
        </is>
      </c>
      <c r="K17" s="255" t="inlineStr">
        <is>
          <t>¿Qué hago?</t>
        </is>
      </c>
    </row>
    <row r="18" ht="57.75" customHeight="1" s="354">
      <c r="A18" s="261">
        <f>'E-Producto'!B7</f>
        <v/>
      </c>
      <c r="B18" s="261">
        <f>'E-Producto'!C7</f>
        <v/>
      </c>
      <c r="C18" s="256" t="inlineStr">
        <is>
          <t>productoNuevo</t>
        </is>
      </c>
      <c r="D18" s="256" t="inlineStr">
        <is>
          <t>Producto</t>
        </is>
      </c>
      <c r="E18" s="257" t="inlineStr">
        <is>
          <t>Contiene la información del producto que se va a registrar.</t>
        </is>
      </c>
      <c r="F18" s="256" t="inlineStr">
        <is>
          <t>Logico</t>
        </is>
      </c>
      <c r="G18" s="256" t="inlineStr">
        <is>
          <t>Retorna verdadero si el producto se agregó correctamente.</t>
        </is>
      </c>
      <c r="H18" s="197">
        <f>'E-Producto'!G7</f>
        <v/>
      </c>
      <c r="I18" s="198">
        <f>'E-Producto'!H7</f>
        <v/>
      </c>
      <c r="J18" s="197" t="inlineStr">
        <is>
          <t>Generar excepción indicando qué campo no cumple con el formato o es obligatorio.</t>
        </is>
      </c>
      <c r="K18" s="197" t="inlineStr">
        <is>
          <t>Detener operación</t>
        </is>
      </c>
    </row>
    <row r="19" ht="57.75" customHeight="1" s="354">
      <c r="A19" s="366" t="n"/>
      <c r="B19" s="366" t="n"/>
      <c r="C19" s="366" t="n"/>
      <c r="D19" s="366" t="n"/>
      <c r="E19" s="366" t="n"/>
      <c r="F19" s="366" t="n"/>
      <c r="G19" s="366" t="n"/>
      <c r="H19" s="197">
        <f>'E-Producto'!G8</f>
        <v/>
      </c>
      <c r="I19" s="198">
        <f>'E-Producto'!H8</f>
        <v/>
      </c>
      <c r="J19" s="197" t="inlineStr">
        <is>
          <t>Generar excepción indicando que la categoría asignada al producto no existe.</t>
        </is>
      </c>
      <c r="K19" s="197" t="inlineStr">
        <is>
          <t>Detener operación</t>
        </is>
      </c>
    </row>
    <row r="20" ht="57.75" customHeight="1" s="354">
      <c r="A20" s="365" t="n"/>
      <c r="B20" s="365" t="n"/>
      <c r="C20" s="365" t="n"/>
      <c r="D20" s="365" t="n"/>
      <c r="E20" s="365" t="n"/>
      <c r="F20" s="365" t="n"/>
      <c r="G20" s="365" t="n"/>
      <c r="H20" s="197">
        <f>'E-Producto'!G9</f>
        <v/>
      </c>
      <c r="I20" s="198">
        <f>'E-Producto'!H9</f>
        <v/>
      </c>
      <c r="J20" s="197" t="inlineStr">
        <is>
          <t>Generar excepción indicando que el SKU ya está en uso por otro producto.</t>
        </is>
      </c>
      <c r="K20" s="197" t="inlineStr">
        <is>
          <t>Detener operación</t>
        </is>
      </c>
    </row>
    <row r="21" ht="77.25" customHeight="1" s="354">
      <c r="A21" s="346">
        <f>'E-Categoria'!B12</f>
        <v/>
      </c>
      <c r="B21" s="346">
        <f>'E-Categoria'!C12</f>
        <v/>
      </c>
      <c r="C21" s="346" t="inlineStr">
        <is>
          <t>productoModificado</t>
        </is>
      </c>
      <c r="D21" s="346" t="inlineStr">
        <is>
          <t>Producto</t>
        </is>
      </c>
      <c r="E21" s="346" t="inlineStr">
        <is>
          <t>Contiene la nueva información del producto a actualizar.</t>
        </is>
      </c>
      <c r="F21" s="346" t="inlineStr">
        <is>
          <t>Logico</t>
        </is>
      </c>
      <c r="G21" s="346" t="inlineStr">
        <is>
          <t>Retorna verdadero si el producto se modificó exitosamente.</t>
        </is>
      </c>
      <c r="H21" s="346">
        <f>'E-Producto'!G10</f>
        <v/>
      </c>
      <c r="I21" s="346">
        <f>'E-Producto'!H10</f>
        <v/>
      </c>
      <c r="J21" s="346" t="inlineStr">
        <is>
          <t>Generar excepción indicando que el producto a modificar no existe en la base de datos.</t>
        </is>
      </c>
      <c r="K21" s="346" t="inlineStr">
        <is>
          <t>Detener operación</t>
        </is>
      </c>
    </row>
    <row r="22" ht="77.25" customHeight="1" s="354">
      <c r="A22" s="365" t="n"/>
      <c r="B22" s="365" t="n"/>
      <c r="C22" s="365" t="n"/>
      <c r="D22" s="365" t="n"/>
      <c r="E22" s="365" t="n"/>
      <c r="F22" s="365" t="n"/>
      <c r="G22" s="365" t="n"/>
      <c r="H22" s="346">
        <f>'E-Producto'!G11</f>
        <v/>
      </c>
      <c r="I22" s="346">
        <f>'E-Producto'!H11</f>
        <v/>
      </c>
      <c r="J22" s="346" t="inlineStr">
        <is>
          <t>Generar excepción indicando que el nuevo SKU ingresado ya pertenece a otro producto.</t>
        </is>
      </c>
      <c r="K22" s="346" t="inlineStr">
        <is>
          <t>Detener operación</t>
        </is>
      </c>
    </row>
    <row r="23" ht="57.75" customHeight="1" s="354">
      <c r="A23" s="260">
        <f>'E-Producto'!B12</f>
        <v/>
      </c>
      <c r="B23" s="260">
        <f>'E-Producto'!C12</f>
        <v/>
      </c>
      <c r="C23" s="259" t="inlineStr">
        <is>
          <t>idProducto</t>
        </is>
      </c>
      <c r="D23" s="259" t="inlineStr">
        <is>
          <t>alfanumerico</t>
        </is>
      </c>
      <c r="E23" s="259" t="inlineStr">
        <is>
          <t>Identificador exacto del producto que se desea borrar o inactivar.</t>
        </is>
      </c>
      <c r="F23" s="259" t="inlineStr">
        <is>
          <t>Logico</t>
        </is>
      </c>
      <c r="G23" s="259" t="inlineStr">
        <is>
          <t>Retorna verdadero si el producto fue eliminado o desactivado correctamente.</t>
        </is>
      </c>
      <c r="H23" s="259">
        <f>'E-Producto'!G12</f>
        <v/>
      </c>
      <c r="I23" s="259">
        <f>'E-Producto'!H12</f>
        <v/>
      </c>
      <c r="J23" s="259" t="inlineStr">
        <is>
          <t>Generar excepción indicando que el producto a eliminar no se encuentra registrado.</t>
        </is>
      </c>
      <c r="K23" s="259" t="inlineStr">
        <is>
          <t>Detener operación</t>
        </is>
      </c>
    </row>
    <row r="24" ht="101.25" customHeight="1" s="354">
      <c r="A24" s="365" t="n"/>
      <c r="B24" s="365" t="n"/>
      <c r="C24" s="365" t="n"/>
      <c r="D24" s="365" t="n"/>
      <c r="E24" s="365" t="n"/>
      <c r="F24" s="365" t="n"/>
      <c r="G24" s="365" t="n"/>
      <c r="H24" s="259">
        <f>'E-Producto'!G13</f>
        <v/>
      </c>
      <c r="I24" s="259">
        <f>'E-Producto'!H13</f>
        <v/>
      </c>
      <c r="J24" s="259" t="inlineStr">
        <is>
          <t>Generar excepción indicando que el producto tiene historial de ventas y solo puede ser inactivado.</t>
        </is>
      </c>
      <c r="K24" s="259" t="inlineStr">
        <is>
          <t>Detener operación</t>
        </is>
      </c>
    </row>
    <row r="25" ht="87" customHeight="1" s="354">
      <c r="A25" s="201">
        <f>'E-Producto'!A14</f>
        <v/>
      </c>
      <c r="B25" s="201">
        <f>'E-Producto'!C14</f>
        <v/>
      </c>
      <c r="C25" s="196" t="inlineStr">
        <is>
          <t>filtros</t>
        </is>
      </c>
      <c r="D25" s="191" t="inlineStr">
        <is>
          <t>Texto</t>
        </is>
      </c>
      <c r="E25" s="191" t="inlineStr">
        <is>
          <t>Parámetros opcionales para filtrar la búsqueda de productos.</t>
        </is>
      </c>
      <c r="F25" s="191" t="inlineStr">
        <is>
          <t>Lista&lt;Producto&gt;</t>
        </is>
      </c>
      <c r="G25" s="192" t="inlineStr">
        <is>
          <t>Retorna una colección con los objetos de los productos encontrados.</t>
        </is>
      </c>
      <c r="H25" s="191">
        <f>'E-Producto'!G14</f>
        <v/>
      </c>
      <c r="I25" s="191">
        <f>'E-Producto'!H14</f>
        <v/>
      </c>
      <c r="J25" s="193" t="inlineStr">
        <is>
          <t>Generar excepción indicando acceso denegado por intentar consultar productos inactivos sin permisos administrativos.</t>
        </is>
      </c>
      <c r="K25" s="193" t="inlineStr">
        <is>
          <t>Detener operación</t>
        </is>
      </c>
    </row>
    <row r="26" ht="15.75" customHeight="1" s="354"/>
  </sheetData>
  <mergeCells count="30">
    <mergeCell ref="C16:E16"/>
    <mergeCell ref="G23:G24"/>
    <mergeCell ref="F16:G16"/>
    <mergeCell ref="D21:D22"/>
    <mergeCell ref="E23:E24"/>
    <mergeCell ref="A16:A17"/>
    <mergeCell ref="A1:B1"/>
    <mergeCell ref="G1:J1"/>
    <mergeCell ref="D18:D20"/>
    <mergeCell ref="B23:B24"/>
    <mergeCell ref="F21:F22"/>
    <mergeCell ref="C21:C22"/>
    <mergeCell ref="F23:F24"/>
    <mergeCell ref="C18:C20"/>
    <mergeCell ref="A21:A22"/>
    <mergeCell ref="E18:E20"/>
    <mergeCell ref="C23:C24"/>
    <mergeCell ref="H16:I16"/>
    <mergeCell ref="J16:K16"/>
    <mergeCell ref="A23:A24"/>
    <mergeCell ref="D1:F1"/>
    <mergeCell ref="B18:B20"/>
    <mergeCell ref="F18:F20"/>
    <mergeCell ref="E21:E22"/>
    <mergeCell ref="D23:D24"/>
    <mergeCell ref="G21:G22"/>
    <mergeCell ref="B16:B17"/>
    <mergeCell ref="B21:B22"/>
    <mergeCell ref="A18:A20"/>
    <mergeCell ref="G18:G20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Producto'!A1" display="applewebdata://4A31782C-94C9-40BA-AD06-77312C4F13C1/ - 'C-Producto'!A1" r:id="rId3"/>
    <hyperlink ref="V4" location="'C-Producto'!A19" display="Registrar un nuevo producto"/>
    <hyperlink ref="W4" location="'C-Producto'!A20" display="Consultar la información de los productos"/>
    <hyperlink ref="X4" location="'C-Producto'!A21" display="Consultar la información de los productos"/>
    <hyperlink ref="Y4" location="'C-Producto'!A22" display="Actualizar la información de un producto"/>
    <hyperlink ref="Z4" location="'C-Producto'!A23" display="Eliminar un producto"/>
    <hyperlink ref="D6" location="'M-Categoria'!B2" display="&lt;Categoria&gt;"/>
    <hyperlink ref="A21" location="RANGE!W4" display="Eliminar de forma definitiva la información de un nuevo País"/>
    <hyperlink ref="A23" location="RANGE!X4" display="Consultar información de un País por su identificador"/>
  </hyperlinks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B7" workbookViewId="0">
      <selection activeCell="H14" sqref="H14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6.5" bestFit="1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ListadoObjetosDominio!B7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0">
        <f>ListadoObjetosDominio!C7</f>
        <v/>
      </c>
      <c r="C3" s="361" t="n"/>
      <c r="D3" s="361" t="n"/>
      <c r="E3" s="361" t="n"/>
      <c r="F3" s="361" t="n"/>
      <c r="G3" s="361" t="n"/>
      <c r="H3" s="361" t="n"/>
      <c r="I3" s="361" t="n"/>
      <c r="J3" s="361" t="n"/>
      <c r="K3" s="91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Administrador</t>
        </is>
      </c>
      <c r="B7" s="266" t="inlineStr">
        <is>
          <t>Registrar un nuevo producto</t>
        </is>
      </c>
      <c r="C7" s="266" t="inlineStr">
        <is>
          <t>Añadir un nuevo artículo (ej. un portátil) al catálogo de ventas asociándolo a una categoría.</t>
        </is>
      </c>
      <c r="D7" s="266">
        <f>ListadoObjetosDominio!B7</f>
        <v/>
      </c>
      <c r="E7" s="266" t="inlineStr">
        <is>
          <t>idcategoria, referencia(SKU), nombre, precio, descripcion, estado</t>
        </is>
      </c>
      <c r="F7" s="266" t="inlineStr">
        <is>
          <t>Formulario para ingresar las características, valor y cantidad inicial del artículo.</t>
        </is>
      </c>
      <c r="G7" s="74" t="inlineStr">
        <is>
          <t>PRO-POL-01</t>
        </is>
      </c>
      <c r="H7" s="74" t="inlineStr">
        <is>
          <t>Asegurar que los datos requeridos sean válidos a nivel de tipo, formato, rango y obligatoriedad.</t>
        </is>
      </c>
      <c r="I7" s="266" t="inlineStr">
        <is>
          <t>Base de datos</t>
        </is>
      </c>
      <c r="J7" s="266" t="inlineStr">
        <is>
          <t>Producto registrado</t>
        </is>
      </c>
      <c r="K7" s="266" t="inlineStr">
        <is>
          <t>¿Qué pasa si se registra un producto sin imagen? ¿El sistema debe asignar una imagen "por defecto" (placeholder)?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PRO-POL-02</t>
        </is>
      </c>
      <c r="H8" s="74" t="inlineStr">
        <is>
          <t>El idCategoria asociado debe existir previamente en el sistema.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PRO-POL-03</t>
        </is>
      </c>
      <c r="H9" s="74" t="inlineStr">
        <is>
          <t>La referencia(SKU) no debe existir previamente en el sistema (Combinación única).</t>
        </is>
      </c>
      <c r="I9" s="362" t="n"/>
      <c r="J9" s="362" t="n"/>
      <c r="K9" s="362" t="n"/>
    </row>
    <row r="10" ht="50.1" customHeight="1" s="354">
      <c r="A10" s="266" t="inlineStr">
        <is>
          <t>Administrador</t>
        </is>
      </c>
      <c r="B10" s="266" t="inlineStr">
        <is>
          <t>Modificar producto</t>
        </is>
      </c>
      <c r="C10" s="266" t="inlineStr">
        <is>
          <t>Actualizar la información de un producto, como cambiar su precio o ajustar el inventario manualmente.</t>
        </is>
      </c>
      <c r="D10" s="266">
        <f>ListadoObjetosDominio!B7</f>
        <v/>
      </c>
      <c r="E10" s="266" t="inlineStr">
        <is>
          <t>idProducto, idcategoria, referencia(SKU), nombre, precio, descripcion, estado</t>
        </is>
      </c>
      <c r="F10" s="266" t="inlineStr">
        <is>
          <t>Formulario pre-poblado con los datos actuales del producto para ser editados.</t>
        </is>
      </c>
      <c r="G10" s="74" t="inlineStr">
        <is>
          <t>PRO-POL-04</t>
        </is>
      </c>
      <c r="H10" s="74" t="inlineStr">
        <is>
          <t>El idProducto proporcionado debe existir obligatoriamente en el catálogo.</t>
        </is>
      </c>
      <c r="I10" s="266" t="inlineStr">
        <is>
          <t>Base de datos</t>
        </is>
      </c>
      <c r="J10" s="266" t="inlineStr">
        <is>
          <t>Producto modificado</t>
        </is>
      </c>
      <c r="K10" s="266" t="inlineStr">
        <is>
          <t>Si se cambia el precio de un producto, ¿esto afecta automáticamente a los carritos de compras que los clientes aún no han pagado?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PRO-POL-05</t>
        </is>
      </c>
      <c r="H11" s="74" t="inlineStr">
        <is>
          <t>Si se modifica la referencia(SKU), la nueva no debe colisionar con otra existente.</t>
        </is>
      </c>
      <c r="I11" s="362" t="n"/>
      <c r="J11" s="362" t="n"/>
      <c r="K11" s="362" t="n"/>
    </row>
    <row r="12" ht="50.1" customHeight="1" s="354">
      <c r="A12" s="266" t="inlineStr">
        <is>
          <t>Administrador</t>
        </is>
      </c>
      <c r="B12" s="266" t="inlineStr">
        <is>
          <t>Eliminar producto</t>
        </is>
      </c>
      <c r="C12" s="266" t="inlineStr">
        <is>
          <t>Retirar un producto del catálogo para que no pueda ser visualizado ni comprado por los clientes.</t>
        </is>
      </c>
      <c r="D12" s="266">
        <f>ListadoObjetosDominio!B7</f>
        <v/>
      </c>
      <c r="E12" s="266" t="inlineStr">
        <is>
          <t>idProducto</t>
        </is>
      </c>
      <c r="F12" s="266" t="inlineStr">
        <is>
          <t>Identificador del producto que el administrador desea eliminar.</t>
        </is>
      </c>
      <c r="G12" s="74" t="inlineStr">
        <is>
          <t>PRO-POL-06</t>
        </is>
      </c>
      <c r="H12" s="74" t="inlineStr">
        <is>
          <t>El idProducto a eliminar debe existir previamente en el sistema.</t>
        </is>
      </c>
      <c r="I12" s="266" t="inlineStr">
        <is>
          <t>Base de datos</t>
        </is>
      </c>
      <c r="J12" s="266" t="inlineStr">
        <is>
          <t>Producto eliminado</t>
        </is>
      </c>
      <c r="K12" s="266" t="inlineStr">
        <is>
          <t>Afectación en el SEO de la página web si se desactiva masivamente la URL de productos muy visitados.</t>
        </is>
      </c>
    </row>
    <row r="13" ht="50.1" customHeight="1" s="354">
      <c r="A13" s="362" t="n"/>
      <c r="B13" s="362" t="n"/>
      <c r="C13" s="362" t="n"/>
      <c r="D13" s="362" t="n"/>
      <c r="E13" s="362" t="n"/>
      <c r="F13" s="362" t="n"/>
      <c r="G13" s="74" t="inlineStr">
        <is>
          <t>PRO-POL-07</t>
        </is>
      </c>
      <c r="H13" s="74" t="inlineStr">
        <is>
          <t>El sistema no debe permitir eliminar el producto si este ya se encuentra asociado a un pedido histórico (se recomienda desactivarlo).</t>
        </is>
      </c>
      <c r="I13" s="362" t="n"/>
      <c r="J13" s="362" t="n"/>
      <c r="K13" s="362" t="n"/>
    </row>
    <row r="14" ht="50.1" customHeight="1" s="354">
      <c r="A14" s="74" t="inlineStr">
        <is>
          <t>Cliente/Administrador</t>
        </is>
      </c>
      <c r="B14" s="74" t="inlineStr">
        <is>
          <t>Consultar productos</t>
        </is>
      </c>
      <c r="C14" s="74" t="inlineStr">
        <is>
          <t>Listar y visualizar los detalles de los productos disponibles en la tienda web o panel de control.</t>
        </is>
      </c>
      <c r="D14" s="74">
        <f>ListadoObjetosDominio!B7</f>
        <v/>
      </c>
      <c r="E14" s="266" t="inlineStr">
        <is>
          <t>idProducto, idcategoria, referencia(SKU), nombre, precio, estado</t>
        </is>
      </c>
      <c r="F14" s="266" t="inlineStr">
        <is>
          <t>Vitrina virtual (Storefront) para el cliente o tabla de gestión para el administrador.</t>
        </is>
      </c>
      <c r="G14" s="74" t="inlineStr">
        <is>
          <t>PRO-POL-08</t>
        </is>
      </c>
      <c r="H14" s="74" t="inlineStr">
        <is>
          <t>El Cliente solo puede ver productos en estado "Activo"; el Administrador puede ver todos los estados.</t>
        </is>
      </c>
      <c r="I14" s="74" t="inlineStr">
        <is>
          <t>Base de datos</t>
        </is>
      </c>
      <c r="J14" s="74" t="inlineStr">
        <is>
          <t>Productos consultados</t>
        </is>
      </c>
      <c r="K14" s="74" t="inlineStr">
        <is>
          <t>Si hay miles de productos, la consulta puede volver lento el sistema (se requiere paginación).</t>
        </is>
      </c>
    </row>
  </sheetData>
  <mergeCells count="41">
    <mergeCell ref="B12:B13"/>
    <mergeCell ref="J7:J9"/>
    <mergeCell ref="F12:F13"/>
    <mergeCell ref="E5:F5"/>
    <mergeCell ref="C10:C11"/>
    <mergeCell ref="E10:E11"/>
    <mergeCell ref="E4:F4"/>
    <mergeCell ref="C7:C9"/>
    <mergeCell ref="E7:E9"/>
    <mergeCell ref="K7:K9"/>
    <mergeCell ref="A12:A13"/>
    <mergeCell ref="C12:C13"/>
    <mergeCell ref="I12:I13"/>
    <mergeCell ref="K12:K13"/>
    <mergeCell ref="B7:B9"/>
    <mergeCell ref="D12:D13"/>
    <mergeCell ref="B10:B11"/>
    <mergeCell ref="B3:K3"/>
    <mergeCell ref="I5:I6"/>
    <mergeCell ref="A5:A6"/>
    <mergeCell ref="F7:F9"/>
    <mergeCell ref="J12:J13"/>
    <mergeCell ref="G5:H5"/>
    <mergeCell ref="B2:K2"/>
    <mergeCell ref="A10:A11"/>
    <mergeCell ref="I10:I11"/>
    <mergeCell ref="B5:B6"/>
    <mergeCell ref="K10:K11"/>
    <mergeCell ref="D5:D6"/>
    <mergeCell ref="G4:H4"/>
    <mergeCell ref="D10:D11"/>
    <mergeCell ref="A7:A9"/>
    <mergeCell ref="J5:J6"/>
    <mergeCell ref="B4:C4"/>
    <mergeCell ref="I7:I9"/>
    <mergeCell ref="E12:E13"/>
    <mergeCell ref="J10:J11"/>
    <mergeCell ref="D7:D9"/>
    <mergeCell ref="F10:F11"/>
    <mergeCell ref="K5:K6"/>
    <mergeCell ref="C5:C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D1" sqref="D1:F1"/>
    </sheetView>
  </sheetViews>
  <sheetFormatPr baseColWidth="8" defaultColWidth="11" defaultRowHeight="15.95"/>
  <cols>
    <col width="31.875" customWidth="1" style="354" min="1" max="1"/>
    <col width="25.5" customWidth="1" style="354" min="2" max="2"/>
    <col width="16" customWidth="1" style="354" min="3" max="3"/>
    <col width="21.125" bestFit="1" customWidth="1" style="354" min="4" max="4"/>
    <col width="31.125" bestFit="1" customWidth="1" style="354" min="5" max="5"/>
  </cols>
  <sheetData>
    <row r="1">
      <c r="A1" s="343" t="inlineStr">
        <is>
          <t>&lt;&lt; Ir al modelo de dominio</t>
        </is>
      </c>
      <c r="C1" s="343" t="n"/>
      <c r="D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3">
      <c r="A3" s="21" t="inlineStr">
        <is>
          <t>Nombre</t>
        </is>
      </c>
      <c r="B3" s="132">
        <f>ListadoObjetosDominio!B8</f>
        <v/>
      </c>
      <c r="C3" s="132" t="n"/>
      <c r="D3" s="132" t="n"/>
      <c r="E3" s="132" t="n"/>
      <c r="F3" s="132" t="n"/>
      <c r="G3" s="132" t="n"/>
      <c r="H3" s="132" t="n"/>
      <c r="I3" s="132" t="n"/>
      <c r="J3" s="132" t="n"/>
    </row>
    <row r="4">
      <c r="A4" s="21" t="inlineStr">
        <is>
          <t>Descripción</t>
        </is>
      </c>
      <c r="B4" s="325">
        <f>ListadoObjetosDominio!C8</f>
        <v/>
      </c>
    </row>
    <row r="5" ht="102" customHeight="1" s="354">
      <c r="A5" s="17" t="inlineStr">
        <is>
          <t>Representa el identificador único de cada imagen generado automáticamente por el sistema.</t>
        </is>
      </c>
      <c r="B5" s="17" t="inlineStr">
        <is>
          <t>Representa el objeto de dominio Producto al cual pertenece esta imagen.</t>
        </is>
      </c>
      <c r="C5" s="17" t="inlineStr">
        <is>
          <t>Representa la ruta web o enlace donde está alojada la fotografía del artículo</t>
        </is>
      </c>
      <c r="D5" s="17" t="inlineStr">
        <is>
          <t>Representa el número secuencial que define en qué orden se muestran las fotos en la galería</t>
        </is>
      </c>
      <c r="E5" s="17" t="inlineStr">
        <is>
          <t>Indica que no pueden existir dos imágenes con la misma URL asociadas al mismo producto.</t>
        </is>
      </c>
    </row>
    <row r="6">
      <c r="A6" s="22" t="inlineStr">
        <is>
          <t>idimagen</t>
        </is>
      </c>
      <c r="B6" s="22" t="inlineStr">
        <is>
          <t>idproducto</t>
        </is>
      </c>
      <c r="C6" s="22" t="inlineStr">
        <is>
          <t>foto</t>
        </is>
      </c>
      <c r="D6" s="22" t="inlineStr">
        <is>
          <t>ordenVisualizacion</t>
        </is>
      </c>
      <c r="E6" s="24" t="inlineStr">
        <is>
          <t>Combinación única 1</t>
        </is>
      </c>
    </row>
    <row r="7" ht="32.1" customHeight="1" s="354">
      <c r="A7" s="23" t="inlineStr">
        <is>
          <t>IMG-001</t>
        </is>
      </c>
      <c r="B7" s="133">
        <f>'M-Producto'!A6</f>
        <v/>
      </c>
      <c r="C7" s="26" t="inlineStr">
        <is>
          <t>/assets/sombrilla-antiviento-1.jpg</t>
        </is>
      </c>
      <c r="D7" s="138" t="n">
        <v>1</v>
      </c>
      <c r="E7" s="20">
        <f>_xlfn.CONCAT(B7,"-",D7)</f>
        <v/>
      </c>
    </row>
    <row r="8" ht="48" customHeight="1" s="354">
      <c r="A8" s="23" t="inlineStr">
        <is>
          <t>IMG-002</t>
        </is>
      </c>
      <c r="B8" s="133">
        <f>'M-Producto'!A6</f>
        <v/>
      </c>
      <c r="C8" s="26" t="inlineStr">
        <is>
          <t>/assets/sombrilla-antiviento-abierta.jpg</t>
        </is>
      </c>
      <c r="D8" s="138" t="n">
        <v>2</v>
      </c>
      <c r="E8" s="20">
        <f>_xlfn.CONCAT(B8,"-",D8)</f>
        <v/>
      </c>
    </row>
    <row r="9" ht="32.1" customHeight="1" s="354">
      <c r="A9" s="23" t="inlineStr">
        <is>
          <t>IMG-003</t>
        </is>
      </c>
      <c r="B9" s="133">
        <f>'M-Producto'!A7</f>
        <v/>
      </c>
      <c r="C9" s="26" t="inlineStr">
        <is>
          <t>/assets/gorra-ninos-azul.jpg</t>
        </is>
      </c>
      <c r="D9" s="138" t="n">
        <v>1</v>
      </c>
      <c r="E9" s="20">
        <f>_xlfn.CONCAT(B9,"-",D9)</f>
        <v/>
      </c>
    </row>
    <row r="10" ht="32.1" customHeight="1" s="354">
      <c r="A10" s="23" t="inlineStr">
        <is>
          <t>IMG-004</t>
        </is>
      </c>
      <c r="B10" s="133" t="inlineStr">
        <is>
          <t xml:space="preserve">	P-0002</t>
        </is>
      </c>
      <c r="C10" s="26" t="inlineStr">
        <is>
          <t xml:space="preserve">	/assets/gorra-ninos-beige.jpg</t>
        </is>
      </c>
      <c r="D10" s="138" t="n">
        <v>2</v>
      </c>
      <c r="E10" s="20">
        <f>_xlfn.CONCAT(B10,"-",D10)</f>
        <v/>
      </c>
    </row>
    <row r="11" ht="48" customHeight="1" s="354">
      <c r="A11" s="23" t="inlineStr">
        <is>
          <t>IMG-005</t>
        </is>
      </c>
      <c r="B11" s="133">
        <f>'M-Producto'!A8</f>
        <v/>
      </c>
      <c r="C11" s="26" t="inlineStr">
        <is>
          <t>/assets/tapete-bienvenido-verde.jpg</t>
        </is>
      </c>
      <c r="D11" s="138" t="n">
        <v>1</v>
      </c>
      <c r="E11" s="20">
        <f>_xlfn.CONCAT(B11,"-",D11)</f>
        <v/>
      </c>
    </row>
    <row r="14">
      <c r="A14" s="228" t="inlineStr">
        <is>
          <t>Corresponde a los datos generales del objeto de dominio (nombre, descripción)</t>
        </is>
      </c>
    </row>
    <row r="15">
      <c r="A15" s="326" t="inlineStr">
        <is>
          <t>Corresponde a las descripciones de los atributos</t>
        </is>
      </c>
    </row>
    <row r="16">
      <c r="A16" s="327" t="inlineStr">
        <is>
          <t>Coresponde al nombre de los atributos</t>
        </is>
      </c>
    </row>
    <row r="17">
      <c r="A17" s="13" t="inlineStr">
        <is>
          <t>Corresponde a los datos que son de libre ingreso</t>
        </is>
      </c>
      <c r="B17" s="13" t="n"/>
      <c r="C17" s="13" t="n"/>
    </row>
    <row r="18">
      <c r="A18" s="328" t="inlineStr">
        <is>
          <t>Corresponde a los datos que se generarán automáticamente</t>
        </is>
      </c>
    </row>
    <row r="19">
      <c r="A19" s="222" t="inlineStr">
        <is>
          <t>Corresponde a la combinación única 1</t>
        </is>
      </c>
    </row>
    <row r="20">
      <c r="A20" s="324" t="inlineStr">
        <is>
          <t>Corresponde a referencias a otros objetos de dominio</t>
        </is>
      </c>
    </row>
  </sheetData>
  <mergeCells count="10">
    <mergeCell ref="A20:E20"/>
    <mergeCell ref="A16:E16"/>
    <mergeCell ref="A15:E15"/>
    <mergeCell ref="A19:E19"/>
    <mergeCell ref="B4:J4"/>
    <mergeCell ref="A14:E14"/>
    <mergeCell ref="G1:J1"/>
    <mergeCell ref="A1:B1"/>
    <mergeCell ref="D1:F1"/>
    <mergeCell ref="A18:E18"/>
  </mergeCells>
  <hyperlinks>
    <hyperlink ref="A1" location="'Modelo de dominio'!A1" display="&lt;&lt; Ir al modelo de dominio"/>
    <hyperlink ref="D1" location="ListadoObjetosDominio!A1" display="&lt;&lt; Ir al listado de objetos de dominio"/>
    <hyperlink ref="G1" location="'C-Departamento'!A1" display="&lt;&lt; Ir a la caracterización del objeto de dominio"/>
    <hyperlink ref="B7" location="'M-Producto'!A6" display="'M-Producto'!A6"/>
    <hyperlink ref="B8" location="'M-Producto'!A6" display="'M-Producto'!A6"/>
    <hyperlink ref="B9" location="'M-Producto'!A7" display="'M-Producto'!A7"/>
    <hyperlink ref="B10" location="'M-Producto'!A7" display="_x0009_P-0002"/>
    <hyperlink ref="B11" location="'M-Producto'!A8" display="'M-Producto'!A8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3"/>
  <sheetViews>
    <sheetView topLeftCell="A8" zoomScale="75" workbookViewId="0">
      <selection activeCell="A14" sqref="A14:K23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19.625" bestFit="1" customWidth="1" style="354" min="10" max="10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'M-ImagenProducto'!B3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'M-ImagenProducto'!B4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>
      <c r="A5" s="45">
        <f>'M-ImagenProducto'!A6</f>
        <v/>
      </c>
      <c r="B5" s="52">
        <f>'M-ImagenProducto'!A5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n"/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'M-ImagenProducto'!B6</f>
        <v/>
      </c>
      <c r="B6" s="45">
        <f>'M-ImagenProducto'!B5</f>
        <v/>
      </c>
      <c r="C6" s="45" t="inlineStr">
        <is>
          <t>No</t>
        </is>
      </c>
      <c r="D6" s="165" t="inlineStr">
        <is>
          <t>&lt;Producto&gt;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Debe corresponder a un producto existente en el catálogo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26" customHeight="1" s="354">
      <c r="A7" s="45">
        <f>'M-ImagenProducto'!C6</f>
        <v/>
      </c>
      <c r="B7" s="45">
        <f>'M-ImagenProducto'!C5</f>
        <v/>
      </c>
      <c r="C7" s="45" t="inlineStr">
        <is>
          <t>No</t>
        </is>
      </c>
      <c r="D7" s="45" t="inlineStr">
        <is>
          <t>Texto</t>
        </is>
      </c>
      <c r="E7" s="45" t="inlineStr">
        <is>
          <t>Si</t>
        </is>
      </c>
      <c r="F7" s="45" t="n">
        <v>5</v>
      </c>
      <c r="G7" s="45" t="n">
        <v>500</v>
      </c>
      <c r="H7" s="45" t="n"/>
      <c r="I7" s="45" t="n"/>
      <c r="J7" s="45" t="n"/>
      <c r="K7" s="45" t="n"/>
      <c r="L7" s="45" t="inlineStr">
        <is>
          <t>URL / Minúsculas</t>
        </is>
      </c>
      <c r="M7" s="45" t="inlineStr">
        <is>
          <t>Debe ser una ruta válida terminada en extensión de imagen (ej. .jpg, .png, .webp)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98.09999999999999" customHeight="1" s="354">
      <c r="A8" s="45">
        <f>'M-ImagenProducto'!D6</f>
        <v/>
      </c>
      <c r="B8" s="45">
        <f>'M-ImagenProducto'!D5</f>
        <v/>
      </c>
      <c r="C8" s="45" t="inlineStr">
        <is>
          <t>No</t>
        </is>
      </c>
      <c r="D8" s="45" t="inlineStr">
        <is>
          <t>Numerico entero</t>
        </is>
      </c>
      <c r="E8" s="45" t="inlineStr">
        <is>
          <t>Si</t>
        </is>
      </c>
      <c r="F8" s="45" t="n"/>
      <c r="G8" s="45" t="n"/>
      <c r="H8" s="45" t="n"/>
      <c r="I8" s="45" t="n"/>
      <c r="J8" s="45" t="n">
        <v>1</v>
      </c>
      <c r="K8" s="45" t="n">
        <v>20</v>
      </c>
      <c r="L8" s="45" t="n"/>
      <c r="M8" s="45" t="inlineStr">
        <is>
          <t>Determina la posición de la foto en la galería del producto (1 es la foto principal)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>
        <v>1</v>
      </c>
      <c r="U8" s="45" t="inlineStr">
        <is>
          <t>No</t>
        </is>
      </c>
      <c r="V8" s="88" t="n"/>
      <c r="W8" s="98" t="n"/>
      <c r="X8" s="89" t="n"/>
      <c r="Y8" s="90" t="n"/>
    </row>
    <row r="10" ht="42" customHeight="1" s="354">
      <c r="A10" s="50" t="inlineStr">
        <is>
          <t>Nombre
combinación unica</t>
        </is>
      </c>
      <c r="B10" s="50" t="inlineStr">
        <is>
          <t>Descripción</t>
        </is>
      </c>
      <c r="C10" s="50" t="inlineStr">
        <is>
          <t>Atributos
involucrados</t>
        </is>
      </c>
    </row>
    <row r="11" ht="33.95" customHeight="1" s="354">
      <c r="A11" s="331">
        <f>'M-ImagenProducto'!E6</f>
        <v/>
      </c>
      <c r="B11" s="376">
        <f>'M-ImagenProducto'!E5</f>
        <v/>
      </c>
      <c r="C11" s="49">
        <f>'M-ImagenProducto'!B6</f>
        <v/>
      </c>
    </row>
    <row r="12" ht="17.1" customHeight="1" s="354">
      <c r="A12" s="362" t="n"/>
      <c r="B12" s="377" t="n"/>
      <c r="C12" s="49">
        <f>'M-ImagenProducto'!D6</f>
        <v/>
      </c>
    </row>
    <row r="13" ht="15.75" customHeight="1" s="354"/>
    <row r="14" ht="15.75" customHeight="1" s="354">
      <c r="A14" s="255" t="inlineStr">
        <is>
          <t>Responsabilidad</t>
        </is>
      </c>
      <c r="B14" s="255" t="inlineStr">
        <is>
          <t>Descripción</t>
        </is>
      </c>
      <c r="C14" s="255" t="inlineStr">
        <is>
          <t>Entradas</t>
        </is>
      </c>
      <c r="D14" s="364" t="n"/>
      <c r="E14" s="360" t="n"/>
      <c r="F14" s="255" t="inlineStr">
        <is>
          <t>Salida</t>
        </is>
      </c>
      <c r="G14" s="360" t="n"/>
      <c r="H14" s="255" t="inlineStr">
        <is>
          <t>Políticas (Reglas de Negocio)</t>
        </is>
      </c>
      <c r="I14" s="360" t="n"/>
      <c r="J14" s="255" t="inlineStr">
        <is>
          <t xml:space="preserve">Excepción </t>
        </is>
      </c>
      <c r="K14" s="360" t="n"/>
    </row>
    <row r="15" ht="15.75" customHeight="1" s="354">
      <c r="A15" s="365" t="n"/>
      <c r="B15" s="365" t="n"/>
      <c r="C15" s="255" t="inlineStr">
        <is>
          <t>Parámettro</t>
        </is>
      </c>
      <c r="D15" s="255" t="inlineStr">
        <is>
          <t xml:space="preserve">Tipo de dato </t>
        </is>
      </c>
      <c r="E15" s="255" t="inlineStr">
        <is>
          <t>Descripci</t>
        </is>
      </c>
      <c r="F15" s="255" t="inlineStr">
        <is>
          <t>Tipo de Dato</t>
        </is>
      </c>
      <c r="G15" s="255" t="inlineStr">
        <is>
          <t>Descripción</t>
        </is>
      </c>
      <c r="H15" s="255" t="inlineStr">
        <is>
          <t>Política</t>
        </is>
      </c>
      <c r="I15" s="255" t="inlineStr">
        <is>
          <t>Descripción</t>
        </is>
      </c>
      <c r="J15" s="255" t="inlineStr">
        <is>
          <t>Detalle</t>
        </is>
      </c>
      <c r="K15" s="255" t="inlineStr">
        <is>
          <t>¿Qué hago?</t>
        </is>
      </c>
    </row>
    <row r="16" ht="100.5" customHeight="1" s="354">
      <c r="A16" s="261">
        <f>'E-ImagenProducto'!B7</f>
        <v/>
      </c>
      <c r="B16" s="261">
        <f>'E-ImagenProducto'!C7</f>
        <v/>
      </c>
      <c r="C16" s="256" t="inlineStr">
        <is>
          <t>magenNueva</t>
        </is>
      </c>
      <c r="D16" s="256" t="inlineStr">
        <is>
          <t>ImagenProducto</t>
        </is>
      </c>
      <c r="E16" s="257" t="inlineStr">
        <is>
          <t>Contiene la información y el archivo de la nueva imagen a registrar.</t>
        </is>
      </c>
      <c r="F16" s="256" t="inlineStr">
        <is>
          <t>Logico</t>
        </is>
      </c>
      <c r="G16" s="256" t="inlineStr">
        <is>
          <t>Retorna verdadero si la imagen se agregó correctamente al producto.</t>
        </is>
      </c>
      <c r="H16" s="197">
        <f>'E-ImagenProducto'!G7</f>
        <v/>
      </c>
      <c r="I16" s="198">
        <f>'E-ImagenProducto'!H7</f>
        <v/>
      </c>
      <c r="J16" s="197" t="inlineStr">
        <is>
          <t>Generar excepción indicando qué campo no cumple con el formato o es obligatorio.</t>
        </is>
      </c>
      <c r="K16" s="197" t="inlineStr">
        <is>
          <t>Detener operación</t>
        </is>
      </c>
    </row>
    <row r="17" ht="63" customHeight="1" s="354">
      <c r="A17" s="366" t="n"/>
      <c r="B17" s="366" t="n"/>
      <c r="C17" s="366" t="n"/>
      <c r="D17" s="366" t="n"/>
      <c r="E17" s="366" t="n"/>
      <c r="F17" s="366" t="n"/>
      <c r="G17" s="366" t="n"/>
      <c r="H17" s="197" t="inlineStr">
        <is>
          <t>P2</t>
        </is>
      </c>
      <c r="I17" s="198" t="inlineStr">
        <is>
          <t>El idProducto asociado debe existir previamente en el sistema.</t>
        </is>
      </c>
      <c r="J17" s="197" t="inlineStr">
        <is>
          <t>Generar excepción indicando que el producto asociado no existe.</t>
        </is>
      </c>
      <c r="K17" s="197" t="inlineStr">
        <is>
          <t>Detener operación</t>
        </is>
      </c>
    </row>
    <row r="18" ht="88.5" customHeight="1" s="354">
      <c r="A18" s="365" t="n"/>
      <c r="B18" s="365" t="n"/>
      <c r="C18" s="365" t="n"/>
      <c r="D18" s="365" t="n"/>
      <c r="E18" s="365" t="n"/>
      <c r="F18" s="365" t="n"/>
      <c r="G18" s="365" t="n"/>
      <c r="H18" s="197">
        <f>'E-ImagenProducto'!G9</f>
        <v/>
      </c>
      <c r="I18" s="198">
        <f>'E-ImagenProducto'!H9</f>
        <v/>
      </c>
      <c r="J18" s="197" t="inlineStr">
        <is>
          <t>Generar excepción indicando que el formato del archivo subido no es permitido.</t>
        </is>
      </c>
      <c r="K18" s="197" t="inlineStr">
        <is>
          <t>Detener operación</t>
        </is>
      </c>
    </row>
    <row r="19" ht="92.25" customHeight="1" s="354">
      <c r="A19" s="346">
        <f>'E-ImagenProducto'!B10</f>
        <v/>
      </c>
      <c r="B19" s="346">
        <f>'E-ImagenProducto'!F10</f>
        <v/>
      </c>
      <c r="C19" s="346" t="inlineStr">
        <is>
          <t>imagenModificada</t>
        </is>
      </c>
      <c r="D19" s="346" t="inlineStr">
        <is>
          <t>ImagenProducto</t>
        </is>
      </c>
      <c r="E19" s="346" t="inlineStr">
        <is>
          <t>Contiene la nueva información de la imagen y su orden de visualización.</t>
        </is>
      </c>
      <c r="F19" s="346" t="inlineStr">
        <is>
          <t>Logico</t>
        </is>
      </c>
      <c r="G19" s="346" t="inlineStr">
        <is>
          <t>Retorna verdadero si la imagen o su orden se modificó exitosamente.</t>
        </is>
      </c>
      <c r="H19" s="346">
        <f>'E-ImagenProducto'!G10</f>
        <v/>
      </c>
      <c r="I19" s="346">
        <f>'E-ImagenProducto'!H10</f>
        <v/>
      </c>
      <c r="J19" s="346" t="inlineStr">
        <is>
          <t>Generar excepción indicando que la imagen a modificar no existe en la base de datos.</t>
        </is>
      </c>
      <c r="K19" s="346" t="inlineStr">
        <is>
          <t>Detener operación</t>
        </is>
      </c>
    </row>
    <row r="20" ht="138.75" customHeight="1" s="354">
      <c r="A20" s="365" t="n"/>
      <c r="B20" s="365" t="n"/>
      <c r="C20" s="365" t="n"/>
      <c r="D20" s="365" t="n"/>
      <c r="E20" s="365" t="n"/>
      <c r="F20" s="365" t="n"/>
      <c r="G20" s="365" t="n"/>
      <c r="H20" s="346">
        <f>'E-ImagenProducto'!G11</f>
        <v/>
      </c>
      <c r="I20" s="346">
        <f>'E-ImagenProducto'!H11</f>
        <v/>
      </c>
      <c r="J20" s="346" t="inlineStr">
        <is>
          <t>Generar excepción indicando que el orden de visualización ya está ocupado por otra imagen.</t>
        </is>
      </c>
      <c r="K20" s="346" t="inlineStr">
        <is>
          <t>Detener operación</t>
        </is>
      </c>
    </row>
    <row r="21" ht="72.75" customHeight="1" s="354">
      <c r="A21" s="260">
        <f>'E-ImagenProducto'!B12</f>
        <v/>
      </c>
      <c r="B21" s="260">
        <f>'E-ImagenProducto'!C12</f>
        <v/>
      </c>
      <c r="C21" s="259" t="inlineStr">
        <is>
          <t>idImagen</t>
        </is>
      </c>
      <c r="D21" s="259" t="inlineStr">
        <is>
          <t>alfanumerico</t>
        </is>
      </c>
      <c r="E21" s="259" t="inlineStr">
        <is>
          <t>Identificador exacto de la imagen que se desea borrar.</t>
        </is>
      </c>
      <c r="F21" s="259" t="inlineStr">
        <is>
          <t>Logico</t>
        </is>
      </c>
      <c r="G21" s="259" t="inlineStr">
        <is>
          <t>Retorna verdadero si la imagen fue eliminada correctamente.</t>
        </is>
      </c>
      <c r="H21" s="259">
        <f>'E-ImagenProducto'!G12</f>
        <v/>
      </c>
      <c r="I21" s="259">
        <f>'E-ImagenProducto'!H12</f>
        <v/>
      </c>
      <c r="J21" s="259" t="inlineStr">
        <is>
          <t>Generar excepción indicando que la imagen a eliminar no se encuentra registrada.</t>
        </is>
      </c>
      <c r="K21" s="259" t="inlineStr">
        <is>
          <t>Detener operación</t>
        </is>
      </c>
    </row>
    <row r="22" ht="174" customHeight="1" s="354">
      <c r="A22" s="365" t="n"/>
      <c r="B22" s="365" t="n"/>
      <c r="C22" s="365" t="n"/>
      <c r="D22" s="365" t="n"/>
      <c r="E22" s="365" t="n"/>
      <c r="F22" s="365" t="n"/>
      <c r="G22" s="365" t="n"/>
      <c r="H22" s="259">
        <f>'E-ImagenProducto'!G13</f>
        <v/>
      </c>
      <c r="I22" s="259">
        <f>'E-ImagenProducto'!H13</f>
        <v/>
      </c>
      <c r="J22" s="259" t="inlineStr">
        <is>
          <t>Generar excepción indicando que no se puede eliminar porque el producto debe conservar al menos una imagen.</t>
        </is>
      </c>
      <c r="K22" s="259" t="inlineStr">
        <is>
          <t>Detener operación</t>
        </is>
      </c>
    </row>
    <row r="23" ht="130.5" customHeight="1" s="354">
      <c r="A23" s="201">
        <f>'E-ImagenProducto'!B14</f>
        <v/>
      </c>
      <c r="B23" s="201">
        <f>'E-ImagenProducto'!C14</f>
        <v/>
      </c>
      <c r="C23" s="196" t="inlineStr">
        <is>
          <t>idProducto</t>
        </is>
      </c>
      <c r="D23" s="191" t="inlineStr">
        <is>
          <t>alfanumerico</t>
        </is>
      </c>
      <c r="E23" s="191" t="inlineStr">
        <is>
          <t>Identificador del producto del cual se quieren obtener las fotos.</t>
        </is>
      </c>
      <c r="F23" s="191" t="inlineStr">
        <is>
          <t>Lista&lt;ImagenProducto&gt;</t>
        </is>
      </c>
      <c r="G23" s="192" t="inlineStr">
        <is>
          <t>Retorna una colección con los objetos de las imágenes encontradas.</t>
        </is>
      </c>
      <c r="H23" s="191">
        <f>'E-ImagenProducto'!G14</f>
        <v/>
      </c>
      <c r="I23" s="191">
        <f>'E-ImagenProducto'!H14</f>
        <v/>
      </c>
      <c r="J23" s="193" t="inlineStr">
        <is>
          <t>Generar excepción indicando que los parámetros de consulta tienen un formato incorrecto.</t>
        </is>
      </c>
      <c r="K23" s="193" t="inlineStr">
        <is>
          <t>Detener operación</t>
        </is>
      </c>
    </row>
  </sheetData>
  <mergeCells count="32"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E21:E22"/>
    <mergeCell ref="G21:G22"/>
    <mergeCell ref="F14:G14"/>
    <mergeCell ref="D16:D18"/>
    <mergeCell ref="H14:I14"/>
    <mergeCell ref="B21:B22"/>
    <mergeCell ref="A11:A12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D6" location="'M-Producto'!B2" display="&lt;Producto&gt;"/>
    <hyperlink ref="A19" location="RANGE!W4" display="Eliminar de forma definitiva la información de un nuevo País"/>
    <hyperlink ref="A21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C10" workbookViewId="0">
      <selection activeCell="H14" sqref="H14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ListadoObjetosDominio!B8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ListadoObjetosDominio!C8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Administrador</t>
        </is>
      </c>
      <c r="B7" s="266" t="inlineStr">
        <is>
          <t>Agregar imagen</t>
        </is>
      </c>
      <c r="C7" s="266" t="inlineStr">
        <is>
          <t>Subir y asociar una nueva fotografía o render a la galería de un producto específico.</t>
        </is>
      </c>
      <c r="D7" s="266">
        <f>ListadoObjetosDominio!B8</f>
        <v/>
      </c>
      <c r="E7" s="266" t="inlineStr">
        <is>
          <t xml:space="preserve">	idproducto, foto, ordenVisualizacion</t>
        </is>
      </c>
      <c r="F7" s="266" t="inlineStr">
        <is>
          <t>Formulario de carga de archivos multimedia asociado a un artículo del catálogo.</t>
        </is>
      </c>
      <c r="G7" s="74" t="inlineStr">
        <is>
          <t>P1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>Cloud Storage (Almacenamiento)</t>
        </is>
      </c>
      <c r="J7" s="266" t="inlineStr">
        <is>
          <t>Imagen registrada</t>
        </is>
      </c>
      <c r="K7" s="266" t="inlineStr">
        <is>
          <t>Riesgo de que se suban imágenes muy pesadas (ej. 5MB) que pongan lenta la carga de la página para los clientes.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P2</t>
        </is>
      </c>
      <c r="H8" s="74" t="inlineStr">
        <is>
          <t>El idProducto asociado debe existir previamente en el sistema.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P3</t>
        </is>
      </c>
      <c r="H9" s="74" t="inlineStr">
        <is>
          <t>El sistema debe validar que la extensión del archivo sea permitida (ej. .jpg, .png, .webp).</t>
        </is>
      </c>
      <c r="I9" s="362" t="n"/>
      <c r="J9" s="362" t="n"/>
      <c r="K9" s="362" t="n"/>
    </row>
    <row r="10" ht="50.1" customHeight="1" s="354">
      <c r="A10" s="266" t="inlineStr">
        <is>
          <t>Administrador</t>
        </is>
      </c>
      <c r="B10" s="266" t="inlineStr">
        <is>
          <t>Modificar imagen</t>
        </is>
      </c>
      <c r="C10" s="266" t="inlineStr">
        <is>
          <t>Actualizar la ruta del archivo o cambiar el estado para definir si es la foto principal (de portada) del producto.</t>
        </is>
      </c>
      <c r="D10" s="266">
        <f>ListadoObjetosDominio!B8</f>
        <v/>
      </c>
      <c r="E10" s="266" t="inlineStr">
        <is>
          <t>idimagen, idproducto, foto, ordenVisualizacion</t>
        </is>
      </c>
      <c r="F10" s="266" t="inlineStr">
        <is>
          <t>Listado de miniaturas del producto con inputs numéricos para definir el orden.</t>
        </is>
      </c>
      <c r="G10" s="74" t="inlineStr">
        <is>
          <t>P4</t>
        </is>
      </c>
      <c r="H10" s="74" t="inlineStr">
        <is>
          <t>El idImagen a modificar debe existir previamente en el sistema.</t>
        </is>
      </c>
      <c r="I10" s="266" t="n"/>
      <c r="J10" s="266" t="inlineStr">
        <is>
          <t>Imagen modificada</t>
        </is>
      </c>
      <c r="K10" s="266" t="inlineStr">
        <is>
          <t>Si dos imágenes del mismo producto quedan con el mismo número de ordenVisualizacion, la galería podría romperse o mostrarse aleatoriamente.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P5</t>
        </is>
      </c>
      <c r="H11" s="74" t="inlineStr">
        <is>
          <t>No pueden existir dos imágenes con el mismo ordenVisualizacion para un mismo producto.</t>
        </is>
      </c>
      <c r="I11" s="362" t="n"/>
      <c r="J11" s="362" t="n"/>
      <c r="K11" s="362" t="n"/>
    </row>
    <row r="12" ht="50.1" customHeight="1" s="354">
      <c r="A12" s="266" t="inlineStr">
        <is>
          <t>Administrador</t>
        </is>
      </c>
      <c r="B12" s="266" t="inlineStr">
        <is>
          <t>Eliminar imagen</t>
        </is>
      </c>
      <c r="C12" s="266" t="inlineStr">
        <is>
          <t>Retirar una fotografía específica de la galería de un producto.</t>
        </is>
      </c>
      <c r="D12" s="266">
        <f>ListadoObjetosDominio!B8</f>
        <v/>
      </c>
      <c r="E12" s="266" t="inlineStr">
        <is>
          <t>idImagen</t>
        </is>
      </c>
      <c r="F12" s="266" t="inlineStr">
        <is>
          <t>Botón de eliminar sobre la miniatura de la imagen en el panel de control.</t>
        </is>
      </c>
      <c r="G12" s="74" t="inlineStr">
        <is>
          <t>P6</t>
        </is>
      </c>
      <c r="H12" s="74" t="inlineStr">
        <is>
          <t>El idImagen a eliminar debe existir previamente en el sistema.</t>
        </is>
      </c>
      <c r="I12" s="266" t="inlineStr">
        <is>
          <t>Cloud Storage (Almacenamiento)</t>
        </is>
      </c>
      <c r="J12" s="266" t="inlineStr">
        <is>
          <t>Imagen eliminada</t>
        </is>
      </c>
      <c r="K12" s="266" t="inlineStr">
        <is>
          <t>Si falla la conexión con el sistema externo, la imagen se borra de la base de datos pero el archivo físico queda ocupando espacio basura en la nube.</t>
        </is>
      </c>
    </row>
    <row r="13" ht="50.1" customHeight="1" s="354">
      <c r="A13" s="362" t="n"/>
      <c r="B13" s="362" t="n"/>
      <c r="C13" s="362" t="n"/>
      <c r="D13" s="362" t="n"/>
      <c r="E13" s="362" t="n"/>
      <c r="F13" s="362" t="n"/>
      <c r="G13" s="74" t="inlineStr">
        <is>
          <t>P7</t>
        </is>
      </c>
      <c r="H13" s="74" t="inlineStr">
        <is>
          <t>El sistema debe impedir borrar la última imagen si la regla de negocio exige que todo producto tenga al menos una foto.</t>
        </is>
      </c>
      <c r="I13" s="362" t="n"/>
      <c r="J13" s="362" t="n"/>
      <c r="K13" s="362" t="n"/>
    </row>
    <row r="14" ht="50.1" customHeight="1" s="354">
      <c r="A14" s="74" t="inlineStr">
        <is>
          <t>Cliente / Administrador</t>
        </is>
      </c>
      <c r="B14" s="74" t="inlineStr">
        <is>
          <t>Consultar imágenes</t>
        </is>
      </c>
      <c r="C14" s="74" t="inlineStr">
        <is>
          <t>Obtener la galería de fotos asociada a un producto para mostrarla en el catálogo o en el detalle del artículo.</t>
        </is>
      </c>
      <c r="D14" s="74">
        <f>ListadoObjetosDominio!B8</f>
        <v/>
      </c>
      <c r="E14" s="74" t="inlineStr">
        <is>
          <t>idimagen, idproducto, foto, ordenVisualizacion</t>
        </is>
      </c>
      <c r="F14" s="74" t="inlineStr">
        <is>
          <t>Carrusel de fotos en la página del producto, ordenado ascendentemente por ordenVisualizacion.</t>
        </is>
      </c>
      <c r="G14" s="74" t="inlineStr">
        <is>
          <t>P8</t>
        </is>
      </c>
      <c r="H14" s="74" t="inlineStr">
        <is>
          <t>Asegurar que los datos requeridos sean válidos a nivel de tipo, formato, longitud y obligatoriedad.</t>
        </is>
      </c>
      <c r="I14" s="74" t="inlineStr">
        <is>
          <t>CDN (Content Delivery Network)</t>
        </is>
      </c>
      <c r="J14" s="74" t="inlineStr">
        <is>
          <t>Imágenes consultadas</t>
        </is>
      </c>
      <c r="K14" s="74" t="inlineStr">
        <is>
          <t>Si el sistema externo (CDN) se cae, los productos se mostrarán sin fotos (enlaces rotos).</t>
        </is>
      </c>
    </row>
  </sheetData>
  <mergeCells count="41">
    <mergeCell ref="B12:B13"/>
    <mergeCell ref="J7:J9"/>
    <mergeCell ref="F12:F13"/>
    <mergeCell ref="E5:F5"/>
    <mergeCell ref="C10:C11"/>
    <mergeCell ref="E10:E11"/>
    <mergeCell ref="E4:F4"/>
    <mergeCell ref="C7:C9"/>
    <mergeCell ref="E7:E9"/>
    <mergeCell ref="K7:K9"/>
    <mergeCell ref="A12:A13"/>
    <mergeCell ref="C12:C13"/>
    <mergeCell ref="I12:I13"/>
    <mergeCell ref="K12:K13"/>
    <mergeCell ref="B7:B9"/>
    <mergeCell ref="D12:D13"/>
    <mergeCell ref="B10:B11"/>
    <mergeCell ref="B3:K3"/>
    <mergeCell ref="I5:I6"/>
    <mergeCell ref="A5:A6"/>
    <mergeCell ref="F7:F9"/>
    <mergeCell ref="J12:J13"/>
    <mergeCell ref="G5:H5"/>
    <mergeCell ref="B2:K2"/>
    <mergeCell ref="A10:A11"/>
    <mergeCell ref="I10:I11"/>
    <mergeCell ref="B5:B6"/>
    <mergeCell ref="K10:K11"/>
    <mergeCell ref="D5:D6"/>
    <mergeCell ref="G4:H4"/>
    <mergeCell ref="K5:K6"/>
    <mergeCell ref="D10:D11"/>
    <mergeCell ref="A7:A9"/>
    <mergeCell ref="J5:J6"/>
    <mergeCell ref="I7:I9"/>
    <mergeCell ref="E12:E13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9"/>
  <sheetViews>
    <sheetView topLeftCell="E2" zoomScale="93" zoomScaleNormal="93" workbookViewId="0">
      <selection activeCell="D6" sqref="D6"/>
    </sheetView>
  </sheetViews>
  <sheetFormatPr baseColWidth="8" defaultColWidth="11" defaultRowHeight="15.95"/>
  <cols>
    <col width="41.625" customWidth="1" style="354" min="1" max="4"/>
    <col width="64.875" bestFit="1" customWidth="1" style="354" min="5" max="5"/>
    <col width="28.625" customWidth="1" style="354" min="6" max="6"/>
    <col width="29.875" customWidth="1" style="354" min="7" max="7"/>
    <col width="30.375" customWidth="1" style="354" min="8" max="8"/>
    <col width="25.5" customWidth="1" style="354" min="9" max="9"/>
  </cols>
  <sheetData>
    <row r="1">
      <c r="A1" s="343" t="inlineStr">
        <is>
          <t>&lt;&lt; Ir al modelo de dominio</t>
        </is>
      </c>
      <c r="G1" s="343" t="n"/>
      <c r="H1" s="335" t="inlineStr">
        <is>
          <t>&lt;&lt; Ir al listado de objetos de dominio</t>
        </is>
      </c>
      <c r="K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ListadoObjetosDominio!B9</f>
        <v/>
      </c>
      <c r="G2" s="58" t="n"/>
      <c r="H2" s="58" t="n"/>
      <c r="I2" s="58" t="n"/>
    </row>
    <row r="3">
      <c r="A3" s="21" t="inlineStr">
        <is>
          <t>Descripción</t>
        </is>
      </c>
      <c r="B3" s="228">
        <f>ListadoObjetosDominio!C9</f>
        <v/>
      </c>
    </row>
    <row r="4" ht="51" customHeight="1" s="354">
      <c r="A4" s="29" t="inlineStr">
        <is>
          <t>Representa el identificador único de cada cotización generado automáticamente por el sistema.</t>
        </is>
      </c>
      <c r="B4" s="29" t="inlineStr">
        <is>
          <t>Referencia al objeto de dominio "Cliente" que escribe la opinión</t>
        </is>
      </c>
      <c r="C4" s="29" t="inlineStr">
        <is>
          <t>Referencia al objeto de dominio "Producto" que es calificado</t>
        </is>
      </c>
      <c r="D4" s="29" t="inlineStr">
        <is>
          <t>Puntuación otorgada al artículo, generalmente en una escala de 1 a 5 estrellas</t>
        </is>
      </c>
      <c r="E4" s="29" t="inlineStr">
        <is>
          <t>Representa el texto opcional donde el cliente describe su experiencia de uso y calidad</t>
        </is>
      </c>
      <c r="F4" s="29" t="inlineStr">
        <is>
          <t>Representa la fecha y hora en que fue creada la solicitud de cotización por parte del cliente.</t>
        </is>
      </c>
      <c r="G4" s="29" t="inlineStr">
        <is>
          <t>Indica que un mismo cliente no puede publicar más de una reseña para un mismo producto</t>
        </is>
      </c>
    </row>
    <row r="5">
      <c r="A5" s="22" t="inlineStr">
        <is>
          <t>idResena</t>
        </is>
      </c>
      <c r="B5" s="22" t="inlineStr">
        <is>
          <t>idCliente</t>
        </is>
      </c>
      <c r="C5" s="22" t="inlineStr">
        <is>
          <t>idProducto</t>
        </is>
      </c>
      <c r="D5" s="22" t="inlineStr">
        <is>
          <t>calificacion</t>
        </is>
      </c>
      <c r="E5" s="22" t="inlineStr">
        <is>
          <t>comentario</t>
        </is>
      </c>
      <c r="F5" s="22" t="inlineStr">
        <is>
          <t>fecha</t>
        </is>
      </c>
      <c r="G5" s="24" t="inlineStr">
        <is>
          <t>Combinación única 1</t>
        </is>
      </c>
    </row>
    <row r="6">
      <c r="A6" s="28" t="inlineStr">
        <is>
          <t>RES-001</t>
        </is>
      </c>
      <c r="B6" s="135">
        <f>'M-Cliente'!A7</f>
        <v/>
      </c>
      <c r="C6" s="137">
        <f>'M-Producto'!A6</f>
        <v/>
      </c>
      <c r="D6" s="3" t="n">
        <v>5</v>
      </c>
      <c r="E6" s="3" t="inlineStr">
        <is>
          <t>"Excelente sombrilla, resiste muy bien el viento y es de buen tamaño."</t>
        </is>
      </c>
      <c r="F6" s="136" t="n">
        <v>46082</v>
      </c>
      <c r="G6" s="20">
        <f>_xlfn.CONCAT(B7,"-",C7)</f>
        <v/>
      </c>
    </row>
    <row r="7">
      <c r="A7" s="28" t="inlineStr">
        <is>
          <t>RES-002</t>
        </is>
      </c>
      <c r="B7" s="135">
        <f>'M-Cliente'!A8</f>
        <v/>
      </c>
      <c r="C7" s="137">
        <f>'M-Producto'!A7</f>
        <v/>
      </c>
      <c r="D7" s="126" t="n">
        <v>4</v>
      </c>
      <c r="E7" s="126" t="inlineStr">
        <is>
          <t>"El tapete es bonito, pero el color verde es un poco más oscuro que en la foto."</t>
        </is>
      </c>
      <c r="F7" s="136" t="n">
        <v>46083</v>
      </c>
      <c r="G7" s="20">
        <f>_xlfn.CONCAT(B8,"-",C8)</f>
        <v/>
      </c>
    </row>
    <row r="8">
      <c r="A8" s="28" t="inlineStr">
        <is>
          <t>RES-003</t>
        </is>
      </c>
      <c r="B8" s="135">
        <f>'M-Cliente'!A9</f>
        <v/>
      </c>
      <c r="C8" s="135">
        <f>'M-Producto'!A8</f>
        <v/>
      </c>
      <c r="D8" s="126" t="n">
        <v>5</v>
      </c>
      <c r="E8" s="126" t="inlineStr">
        <is>
          <t>"Las cucharas son de excelente calidad, gruesas y no se doblan fácil."</t>
        </is>
      </c>
      <c r="F8" s="136" t="n">
        <v>46084</v>
      </c>
      <c r="G8" s="20">
        <f>_xlfn.CONCAT(B9,"-",C9)</f>
        <v/>
      </c>
    </row>
    <row r="9">
      <c r="A9" s="28" t="inlineStr">
        <is>
          <t>RES-004</t>
        </is>
      </c>
      <c r="B9" s="135">
        <f>'M-Cliente'!A10</f>
        <v/>
      </c>
      <c r="C9" s="135">
        <f>'M-Producto'!A9</f>
        <v/>
      </c>
      <c r="D9" s="126" t="n">
        <v>5</v>
      </c>
      <c r="E9" s="126" t="inlineStr">
        <is>
          <t>"A mi hijo le encantó la gorra de osito, el material es muy fresco."</t>
        </is>
      </c>
      <c r="F9" s="136" t="n">
        <v>46085</v>
      </c>
      <c r="G9" s="20">
        <f>_xlfn.CONCAT(B9,"-",C9)</f>
        <v/>
      </c>
    </row>
    <row r="10">
      <c r="A10" s="28" t="inlineStr">
        <is>
          <t>RES-005</t>
        </is>
      </c>
      <c r="B10" s="135">
        <f>'M-Cliente'!A7</f>
        <v/>
      </c>
      <c r="C10" s="135">
        <f>'M-Producto'!A10</f>
        <v/>
      </c>
      <c r="D10" s="126" t="n">
        <v>4</v>
      </c>
      <c r="E10" s="126" t="inlineStr">
        <is>
          <t>"Buena bolsa"</t>
        </is>
      </c>
      <c r="F10" s="136" t="n">
        <v>46086</v>
      </c>
      <c r="G10" s="20">
        <f>_xlfn.CONCAT(B10,"-",C10)</f>
        <v/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62" t="n"/>
      <c r="G13" s="62" t="n"/>
      <c r="H13" s="62" t="n"/>
      <c r="I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59" t="n"/>
      <c r="G14" s="59" t="n"/>
      <c r="H14" s="59" t="n"/>
      <c r="I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28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H1:J1"/>
    <mergeCell ref="A15:I15"/>
    <mergeCell ref="A19:I19"/>
    <mergeCell ref="B2:F2"/>
    <mergeCell ref="A1:F1"/>
    <mergeCell ref="A17:I17"/>
    <mergeCell ref="A18:I18"/>
    <mergeCell ref="B3:I3"/>
    <mergeCell ref="K1:N1"/>
    <mergeCell ref="A16:I16"/>
  </mergeCells>
  <hyperlinks>
    <hyperlink ref="A1" location="'Modelo de dominio'!A1" display="&lt;&lt; Ir al modelo de dominio"/>
    <hyperlink ref="H1" location="ListadoObjetosDominio!A1" display="&lt;&lt; Ir al listado de objetos de dominio"/>
    <hyperlink ref="K1" location="'C-Departamento'!A1" display="&lt;&lt; Ir a la caracterización del objeto de dominio"/>
    <hyperlink ref="B6" location="'M-Cliente'!A7" display="'M-Cliente'!A7"/>
    <hyperlink ref="C6" location="'M-Producto'!A6" display="'M-Producto'!A6"/>
    <hyperlink ref="B7" location="'M-Cliente'!A8" display="'M-Cliente'!A8"/>
    <hyperlink ref="C7" location="'M-Producto'!A7" display="'M-Producto'!A7"/>
    <hyperlink ref="B8" location="'M-Cliente'!A9" display="'M-Cliente'!A9"/>
    <hyperlink ref="C8" location="'M-Producto'!A8" display="'M-Producto'!A8"/>
    <hyperlink ref="B9" location="'M-Cliente'!A10" display="'M-Cliente'!A10"/>
    <hyperlink ref="C9" location="'M-Producto'!A9" display="'M-Producto'!A9"/>
    <hyperlink ref="B10" location="'M-Cliente'!A7" display="'M-Cliente'!A7"/>
    <hyperlink ref="C10" location="'M-Producto'!A10" display="'M-Producto'!A10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2"/>
  <sheetViews>
    <sheetView topLeftCell="A13" workbookViewId="0">
      <selection activeCell="J22" sqref="J22:K22"/>
    </sheetView>
  </sheetViews>
  <sheetFormatPr baseColWidth="8" defaultColWidth="11" defaultRowHeight="15.95"/>
  <cols>
    <col width="24.625" customWidth="1" style="354" min="1" max="1"/>
    <col width="23.125" customWidth="1" style="25" min="2" max="2"/>
    <col width="19.875" customWidth="1" style="354" min="3" max="3"/>
    <col width="37.5" customWidth="1" style="354" min="7" max="7"/>
    <col width="17.5" bestFit="1" customWidth="1" style="354" min="9" max="9"/>
    <col width="19.625" bestFit="1" customWidth="1" style="354" min="10" max="10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 ht="17.1" customHeight="1" s="354">
      <c r="A2" s="36" t="inlineStr">
        <is>
          <t>Nombre</t>
        </is>
      </c>
      <c r="B2" s="43">
        <f>'M-Reseña'!B2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36" t="inlineStr">
        <is>
          <t>Descripción</t>
        </is>
      </c>
      <c r="B3" s="36">
        <f>'M-Reseña'!B3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</row>
    <row r="4" ht="17.1" customHeight="1" s="354">
      <c r="A4" s="40" t="inlineStr">
        <is>
          <t>Nombre atributo</t>
        </is>
      </c>
      <c r="B4" s="41" t="inlineStr">
        <is>
          <t>Descripción atributo</t>
        </is>
      </c>
      <c r="C4" s="40" t="inlineStr">
        <is>
          <t>Identificador del objeto de dominio</t>
        </is>
      </c>
      <c r="D4" s="40" t="inlineStr">
        <is>
          <t xml:space="preserve">Tipo de dato </t>
        </is>
      </c>
      <c r="E4" s="40" t="inlineStr">
        <is>
          <t>Obligatorio</t>
        </is>
      </c>
      <c r="F4" s="40" t="inlineStr">
        <is>
          <t xml:space="preserve"> Longitud minima(si aplica longitud maxima(si aplica)</t>
        </is>
      </c>
      <c r="G4" s="40" t="inlineStr">
        <is>
          <t xml:space="preserve"> Longitud maxima(si aplica longitud maxima(si aplica)</t>
        </is>
      </c>
      <c r="H4" s="40" t="inlineStr">
        <is>
          <t>Precisión (si aplica)</t>
        </is>
      </c>
      <c r="I4" s="40" t="inlineStr">
        <is>
          <t>Redondeo(si aplica)</t>
        </is>
      </c>
      <c r="J4" s="40" t="inlineStr">
        <is>
          <t>Rango inicial(si aplica)</t>
        </is>
      </c>
      <c r="K4" s="40" t="inlineStr">
        <is>
          <t>Rango final (si aplica)</t>
        </is>
      </c>
      <c r="L4" s="40" t="inlineStr">
        <is>
          <t>Formato(Si aplica)</t>
        </is>
      </c>
      <c r="M4" s="40" t="inlineStr">
        <is>
          <t>Reglas especiales(si aplica)</t>
        </is>
      </c>
      <c r="N4" s="40" t="inlineStr">
        <is>
          <t xml:space="preserve">Dato calculado </t>
        </is>
      </c>
      <c r="O4" s="40" t="inlineStr">
        <is>
          <t>Aplica ajuste del dato(si aplica)</t>
        </is>
      </c>
      <c r="P4" s="40" t="inlineStr">
        <is>
          <t>Carácter de ajuste(si aplica)</t>
        </is>
      </c>
      <c r="Q4" s="40" t="inlineStr">
        <is>
          <t>Quitar espacios en blanco al inicio(si aplica)</t>
        </is>
      </c>
      <c r="R4" s="40" t="inlineStr">
        <is>
          <t>Quitar espacios en blanco al fin(si aplica)</t>
        </is>
      </c>
      <c r="S4" s="40" t="inlineStr">
        <is>
          <t>Dato sensible(si aplica)</t>
        </is>
      </c>
      <c r="T4" s="40" t="inlineStr">
        <is>
          <t>Valor por defecto(si aplica)</t>
        </is>
      </c>
      <c r="U4" s="40" t="inlineStr">
        <is>
          <t>Auto generado</t>
        </is>
      </c>
    </row>
    <row r="5" ht="56.1" customHeight="1" s="354">
      <c r="A5" s="45">
        <f>'M-Reseña'!A5</f>
        <v/>
      </c>
      <c r="B5" s="45">
        <f>'M-Reseña'!A4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</row>
    <row r="6" ht="69.95" customHeight="1" s="354">
      <c r="A6" s="45">
        <f>'M-Reseña'!B5</f>
        <v/>
      </c>
      <c r="B6" s="45">
        <f>'M-Reseña'!B4</f>
        <v/>
      </c>
      <c r="C6" s="45" t="inlineStr">
        <is>
          <t>No</t>
        </is>
      </c>
      <c r="D6" s="165" t="inlineStr">
        <is>
          <t>&lt;Cliente&gt;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cliente debe existir y haber comprado el producto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</row>
    <row r="7" ht="56.1" customHeight="1" s="354">
      <c r="A7" s="45">
        <f>'M-Reseña'!C5</f>
        <v/>
      </c>
      <c r="B7" s="45">
        <f>'M-Reseña'!C4</f>
        <v/>
      </c>
      <c r="C7" s="45" t="inlineStr">
        <is>
          <t>No</t>
        </is>
      </c>
      <c r="D7" s="165" t="inlineStr">
        <is>
          <t>&lt;Producto&gt;</t>
        </is>
      </c>
      <c r="E7" s="45" t="inlineStr">
        <is>
          <t>Si</t>
        </is>
      </c>
      <c r="F7" s="45" t="n"/>
      <c r="G7" s="45" t="n"/>
      <c r="H7" s="45" t="n"/>
      <c r="I7" s="45" t="n"/>
      <c r="J7" s="45" t="n"/>
      <c r="K7" s="45" t="n"/>
      <c r="L7" s="45" t="n"/>
      <c r="M7" s="45" t="inlineStr">
        <is>
          <t>El producto debe existir en el catálogo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No</t>
        </is>
      </c>
    </row>
    <row r="8" ht="111.95" customHeight="1" s="354">
      <c r="A8" s="45">
        <f>'M-Reseña'!D5</f>
        <v/>
      </c>
      <c r="B8" s="45">
        <f>'M-Reseña'!D4</f>
        <v/>
      </c>
      <c r="C8" s="45" t="inlineStr">
        <is>
          <t>No</t>
        </is>
      </c>
      <c r="D8" s="45" t="inlineStr">
        <is>
          <t>Numerico entero</t>
        </is>
      </c>
      <c r="E8" s="45" t="inlineStr">
        <is>
          <t>Si</t>
        </is>
      </c>
      <c r="F8" s="45" t="n"/>
      <c r="G8" s="45" t="n"/>
      <c r="H8" s="45" t="n"/>
      <c r="I8" s="45" t="n"/>
      <c r="J8" s="45" t="n">
        <v>1</v>
      </c>
      <c r="K8" s="45" t="n">
        <v>5</v>
      </c>
      <c r="L8" s="45" t="n"/>
      <c r="M8" s="45" t="inlineStr">
        <is>
          <t>La cotización debe estar asociada obligatoriamente a un cliente registrado.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/>
      <c r="U8" s="45" t="inlineStr">
        <is>
          <t>No</t>
        </is>
      </c>
    </row>
    <row r="9" ht="56.1" customHeight="1" s="354">
      <c r="A9" s="45">
        <f>'M-Reseña'!E5</f>
        <v/>
      </c>
      <c r="B9" s="45">
        <f>'M-Reseña'!E4</f>
        <v/>
      </c>
      <c r="C9" s="45" t="inlineStr">
        <is>
          <t>No</t>
        </is>
      </c>
      <c r="D9" s="45" t="inlineStr">
        <is>
          <t>Texto</t>
        </is>
      </c>
      <c r="E9" s="45" t="inlineStr">
        <is>
          <t>No</t>
        </is>
      </c>
      <c r="F9" s="45" t="n">
        <v>0</v>
      </c>
      <c r="G9" s="45" t="n">
        <v>1000</v>
      </c>
      <c r="H9" s="45" t="n"/>
      <c r="I9" s="45" t="n"/>
      <c r="J9" s="45" t="n"/>
      <c r="K9" s="45" t="n"/>
      <c r="L9" s="45" t="n"/>
      <c r="M9" s="45" t="inlineStr">
        <is>
          <t>No debe contener lenguaje ofensivo</t>
        </is>
      </c>
      <c r="N9" s="45" t="inlineStr">
        <is>
          <t>No</t>
        </is>
      </c>
      <c r="O9" s="45" t="inlineStr">
        <is>
          <t>No</t>
        </is>
      </c>
      <c r="P9" s="45" t="n"/>
      <c r="Q9" s="45" t="inlineStr">
        <is>
          <t>Si</t>
        </is>
      </c>
      <c r="R9" s="45" t="inlineStr">
        <is>
          <t>Si</t>
        </is>
      </c>
      <c r="S9" s="45" t="inlineStr">
        <is>
          <t>No</t>
        </is>
      </c>
      <c r="T9" s="45" t="n"/>
      <c r="U9" s="45" t="inlineStr">
        <is>
          <t>No</t>
        </is>
      </c>
    </row>
    <row r="10" ht="98.09999999999999" customHeight="1" s="354">
      <c r="A10" s="45">
        <f>'M-Reseña'!F5</f>
        <v/>
      </c>
      <c r="B10" s="45">
        <f>'M-Reseña'!F4</f>
        <v/>
      </c>
      <c r="C10" s="45" t="inlineStr">
        <is>
          <t>No</t>
        </is>
      </c>
      <c r="D10" s="45" t="inlineStr">
        <is>
          <t>Fecha/Hora</t>
        </is>
      </c>
      <c r="E10" s="45" t="inlineStr">
        <is>
          <t>Si</t>
        </is>
      </c>
      <c r="F10" s="45" t="n"/>
      <c r="G10" s="45" t="n"/>
      <c r="H10" s="45" t="n"/>
      <c r="I10" s="45" t="n"/>
      <c r="J10" s="45" t="n"/>
      <c r="K10" s="45" t="n"/>
      <c r="L10" s="45" t="n"/>
      <c r="M10" s="45" t="inlineStr">
        <is>
          <t>Registra el momento exacto en el que se publicó o editó la calificación</t>
        </is>
      </c>
      <c r="N10" s="45" t="inlineStr">
        <is>
          <t>No</t>
        </is>
      </c>
      <c r="O10" s="45" t="n"/>
      <c r="P10" s="45" t="n"/>
      <c r="Q10" s="45" t="n"/>
      <c r="R10" s="45" t="n"/>
      <c r="S10" s="45" t="inlineStr">
        <is>
          <t>No</t>
        </is>
      </c>
      <c r="T10" s="45" t="n"/>
      <c r="U10" s="45" t="inlineStr">
        <is>
          <t>Si</t>
        </is>
      </c>
    </row>
    <row r="12">
      <c r="A12" s="54" t="inlineStr">
        <is>
          <t>Nombre
combinación unica</t>
        </is>
      </c>
      <c r="B12" s="46" t="inlineStr">
        <is>
          <t>Descripción</t>
        </is>
      </c>
      <c r="C12" s="54" t="inlineStr">
        <is>
          <t>Atributos
involucrados</t>
        </is>
      </c>
    </row>
    <row r="13" ht="68.09999999999999" customHeight="1" s="354">
      <c r="A13" s="55">
        <f>'M-Reseña'!G5</f>
        <v/>
      </c>
      <c r="B13" s="49">
        <f>'M-Reseña'!G4</f>
        <v/>
      </c>
      <c r="C13" s="55">
        <f t="array" ref="C13:D13">'M-Reseña'!B5:C5</f>
        <v/>
      </c>
      <c r="D13" t="inlineStr">
        <is>
          <t>idProducto</t>
        </is>
      </c>
    </row>
    <row r="15" ht="15.75" customHeight="1" s="354">
      <c r="A15" s="255" t="inlineStr">
        <is>
          <t>Responsabilidad</t>
        </is>
      </c>
      <c r="B15" s="255" t="inlineStr">
        <is>
          <t>Descripción</t>
        </is>
      </c>
      <c r="C15" s="255" t="inlineStr">
        <is>
          <t>Entradas</t>
        </is>
      </c>
      <c r="D15" s="364" t="n"/>
      <c r="E15" s="360" t="n"/>
      <c r="F15" s="255" t="inlineStr">
        <is>
          <t>Salida</t>
        </is>
      </c>
      <c r="G15" s="360" t="n"/>
      <c r="H15" s="255" t="inlineStr">
        <is>
          <t>Políticas (Reglas de Negocio)</t>
        </is>
      </c>
      <c r="I15" s="360" t="n"/>
      <c r="J15" s="255" t="inlineStr">
        <is>
          <t xml:space="preserve">Excepción </t>
        </is>
      </c>
      <c r="K15" s="360" t="n"/>
    </row>
    <row r="16" ht="15.75" customHeight="1" s="354">
      <c r="A16" s="365" t="n"/>
      <c r="B16" s="365" t="n"/>
      <c r="C16" s="255" t="inlineStr">
        <is>
          <t>Parámettro</t>
        </is>
      </c>
      <c r="D16" s="255" t="inlineStr">
        <is>
          <t xml:space="preserve">Tipo de dato </t>
        </is>
      </c>
      <c r="E16" s="255" t="inlineStr">
        <is>
          <t>Descripci</t>
        </is>
      </c>
      <c r="F16" s="255" t="inlineStr">
        <is>
          <t>Tipo de Dato</t>
        </is>
      </c>
      <c r="G16" s="255" t="inlineStr">
        <is>
          <t>Descripción</t>
        </is>
      </c>
      <c r="H16" s="255" t="inlineStr">
        <is>
          <t>Política</t>
        </is>
      </c>
      <c r="I16" s="255" t="inlineStr">
        <is>
          <t>Descripción</t>
        </is>
      </c>
      <c r="J16" s="255" t="inlineStr">
        <is>
          <t>Detalle</t>
        </is>
      </c>
      <c r="K16" s="255" t="inlineStr">
        <is>
          <t>¿Qué hago?</t>
        </is>
      </c>
    </row>
    <row r="17" ht="57.75" customHeight="1" s="354">
      <c r="A17" s="261">
        <f>'E-Reseña'!B7</f>
        <v/>
      </c>
      <c r="B17" s="261">
        <f>'E-Reseña'!C7</f>
        <v/>
      </c>
      <c r="C17" s="256" t="inlineStr">
        <is>
          <t>resenaNueva</t>
        </is>
      </c>
      <c r="D17" s="256" t="inlineStr">
        <is>
          <t>Reseña</t>
        </is>
      </c>
      <c r="E17" s="257" t="inlineStr">
        <is>
          <t>Contiene la información de la reseña a registrar (calificación, comentario).</t>
        </is>
      </c>
      <c r="F17" s="256" t="inlineStr">
        <is>
          <t>Logico</t>
        </is>
      </c>
      <c r="G17" s="256" t="inlineStr">
        <is>
          <t>Retorna verdadero si la reseña se publicó exitosamente.</t>
        </is>
      </c>
      <c r="H17" s="197">
        <f>'E-Reseña'!G7</f>
        <v/>
      </c>
      <c r="I17" s="198">
        <f>'E-ImagenProducto'!H8</f>
        <v/>
      </c>
      <c r="J17" s="197" t="inlineStr">
        <is>
          <t>Generar excepción indicando qué campo no cumple con el formato o es obligatorio.</t>
        </is>
      </c>
      <c r="K17" s="197" t="inlineStr">
        <is>
          <t>Detener operación</t>
        </is>
      </c>
    </row>
    <row r="18" ht="72.75" customHeight="1" s="354">
      <c r="A18" s="366" t="n"/>
      <c r="B18" s="366" t="n"/>
      <c r="C18" s="366" t="n"/>
      <c r="D18" s="366" t="n"/>
      <c r="E18" s="366" t="n"/>
      <c r="F18" s="366" t="n"/>
      <c r="G18" s="366" t="n"/>
      <c r="H18" s="197">
        <f>'E-Reseña'!G8</f>
        <v/>
      </c>
      <c r="I18" s="198" t="inlineStr">
        <is>
          <t>El idProducto asociado debe existir previamente en el sistema.</t>
        </is>
      </c>
      <c r="J18" s="197" t="inlineStr">
        <is>
          <t>Generar excepción indicando que el cliente no puede calificar un producto que no ha comprado.</t>
        </is>
      </c>
      <c r="K18" s="197" t="inlineStr">
        <is>
          <t>Detener operación</t>
        </is>
      </c>
    </row>
    <row r="19" ht="57.75" customHeight="1" s="354">
      <c r="A19" s="365" t="n"/>
      <c r="B19" s="365" t="n"/>
      <c r="C19" s="365" t="n"/>
      <c r="D19" s="365" t="n"/>
      <c r="E19" s="365" t="n"/>
      <c r="F19" s="365" t="n"/>
      <c r="G19" s="365" t="n"/>
      <c r="H19" s="197">
        <f>'E-Reseña'!G9</f>
        <v/>
      </c>
      <c r="I19" s="198">
        <f>'E-ImagenProducto'!H10</f>
        <v/>
      </c>
      <c r="J19" s="197" t="inlineStr">
        <is>
          <t>Generar excepción indicando que la calificación debe estar entre 1 y 5.</t>
        </is>
      </c>
      <c r="K19" s="197" t="inlineStr">
        <is>
          <t>Detener operación</t>
        </is>
      </c>
    </row>
    <row r="20" ht="92.25" customHeight="1" s="354">
      <c r="A20" s="346">
        <f>'E-Reseña'!B10</f>
        <v/>
      </c>
      <c r="B20" s="346">
        <f>'E-Reseña'!C10</f>
        <v/>
      </c>
      <c r="C20" s="346" t="inlineStr">
        <is>
          <t>idResena</t>
        </is>
      </c>
      <c r="D20" s="346" t="inlineStr">
        <is>
          <t>alfanumerico</t>
        </is>
      </c>
      <c r="E20" s="346" t="inlineStr">
        <is>
          <t>Identificador exacto de la reseña que se desea borrar.</t>
        </is>
      </c>
      <c r="F20" s="346" t="inlineStr">
        <is>
          <t>Logico</t>
        </is>
      </c>
      <c r="G20" s="346" t="inlineStr">
        <is>
          <t>Retorna verdadero si la reseña fue eliminada correctamente.</t>
        </is>
      </c>
      <c r="H20" s="346">
        <f>'E-Reseña'!G10</f>
        <v/>
      </c>
      <c r="I20" s="346">
        <f>'E-ImagenProducto'!H11</f>
        <v/>
      </c>
      <c r="J20" s="346" t="inlineStr">
        <is>
          <t>Generar excepción indicando que la reseña a eliminar no se encuentra registrada.</t>
        </is>
      </c>
      <c r="K20" s="346" t="inlineStr">
        <is>
          <t>Detener operación</t>
        </is>
      </c>
    </row>
    <row r="21" ht="92.25" customHeight="1" s="354">
      <c r="A21" s="365" t="n"/>
      <c r="B21" s="365" t="n"/>
      <c r="C21" s="365" t="n"/>
      <c r="D21" s="365" t="n"/>
      <c r="E21" s="365" t="n"/>
      <c r="F21" s="365" t="n"/>
      <c r="G21" s="365" t="n"/>
      <c r="H21" s="346">
        <f>'E-Reseña'!G11</f>
        <v/>
      </c>
      <c r="I21" s="346">
        <f>'E-ImagenProducto'!H12</f>
        <v/>
      </c>
      <c r="J21" s="346" t="inlineStr">
        <is>
          <t>Generar excepción indicando acceso denegado por intentar borrar una reseña de otro usuario sin rol de administrador.</t>
        </is>
      </c>
      <c r="K21" s="346" t="inlineStr">
        <is>
          <t>Detener operación</t>
        </is>
      </c>
    </row>
    <row r="22" ht="101.25" customHeight="1" s="354">
      <c r="A22" s="204">
        <f>'E-Reseña'!B12</f>
        <v/>
      </c>
      <c r="B22" s="204">
        <f>'E-Reseña'!C12</f>
        <v/>
      </c>
      <c r="C22" s="205" t="inlineStr">
        <is>
          <t>idProducto</t>
        </is>
      </c>
      <c r="D22" s="205" t="inlineStr">
        <is>
          <t>alfanumerico</t>
        </is>
      </c>
      <c r="E22" s="205" t="inlineStr">
        <is>
          <t>Identificador del producto del cual se quieren consultar las opiniones.</t>
        </is>
      </c>
      <c r="F22" s="205" t="inlineStr">
        <is>
          <t>Lista&lt;Reseña&gt;</t>
        </is>
      </c>
      <c r="G22" s="205" t="inlineStr">
        <is>
          <t>Retorna una colección con los objetos de las reseñas encontradas.</t>
        </is>
      </c>
      <c r="H22" s="203">
        <f>'E-Reseña'!G12</f>
        <v/>
      </c>
      <c r="I22" s="203">
        <f>'E-ImagenProducto'!H13</f>
        <v/>
      </c>
      <c r="J22" s="203" t="inlineStr">
        <is>
          <t>Generar excepción indicando que los parámetros de búsqueda tienen un formato incorrecto.</t>
        </is>
      </c>
      <c r="K22" s="203" t="inlineStr">
        <is>
          <t>Detener operación</t>
        </is>
      </c>
    </row>
    <row r="23" ht="15.75" customHeight="1" s="354"/>
    <row r="24" ht="15.75" customHeight="1" s="354"/>
  </sheetData>
  <mergeCells count="23">
    <mergeCell ref="F17:F19"/>
    <mergeCell ref="A17:A19"/>
    <mergeCell ref="C20:C21"/>
    <mergeCell ref="C17:C19"/>
    <mergeCell ref="E20:E21"/>
    <mergeCell ref="A1:B1"/>
    <mergeCell ref="G1:J1"/>
    <mergeCell ref="F20:F21"/>
    <mergeCell ref="F15:G15"/>
    <mergeCell ref="J15:K15"/>
    <mergeCell ref="G20:G21"/>
    <mergeCell ref="B15:B16"/>
    <mergeCell ref="E17:E19"/>
    <mergeCell ref="G17:G19"/>
    <mergeCell ref="A20:A21"/>
    <mergeCell ref="D17:D19"/>
    <mergeCell ref="B20:B21"/>
    <mergeCell ref="D20:D21"/>
    <mergeCell ref="D1:F1"/>
    <mergeCell ref="C15:E15"/>
    <mergeCell ref="B17:B19"/>
    <mergeCell ref="H15:I15"/>
    <mergeCell ref="A15:A16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D6" location="'M-Cliente'!B2" display="&lt;Cliente&gt;"/>
    <hyperlink ref="D7" location="'M-Producto'!B2" display="&lt;Producto&gt;"/>
    <hyperlink ref="A20" location="RANGE!W4" display="Eliminar de forma definitiva la información de un nuevo País"/>
    <hyperlink ref="A22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N12"/>
  <sheetViews>
    <sheetView topLeftCell="B4" workbookViewId="0">
      <selection activeCell="H12" sqref="H12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5.125" bestFit="1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ListadoObjetosDominio!B9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ListadoObjetosDominio!C9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Cliente</t>
        </is>
      </c>
      <c r="B7" s="266" t="inlineStr">
        <is>
          <t>Crear reseña</t>
        </is>
      </c>
      <c r="C7" s="266" t="inlineStr">
        <is>
          <t>Publicar una calificación y un comentario sobre un producto específico de la tienda.</t>
        </is>
      </c>
      <c r="D7" s="266">
        <f>ListadoObjetosDominio!B9</f>
        <v/>
      </c>
      <c r="E7" s="266" t="inlineStr">
        <is>
          <t>idCliente, idProducto, calificacion, comentario, fecha</t>
        </is>
      </c>
      <c r="F7" s="266" t="inlineStr">
        <is>
          <t>Formulario de valoración (estrellas y texto) en la página del producto.</t>
        </is>
      </c>
      <c r="G7" s="74" t="inlineStr">
        <is>
          <t>RES-POL-01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>API de Moderación de Texto / Filtro Antispam</t>
        </is>
      </c>
      <c r="J7" s="266" t="inlineStr">
        <is>
          <t>Reseña creada</t>
        </is>
      </c>
      <c r="K7" s="266" t="inlineStr">
        <is>
          <t>Riesgo de "Fake Reviews" (Spam). ¿Debería el sistema permitir reseñas de personas que no han comprado el producto?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RES-POL-02</t>
        </is>
      </c>
      <c r="H8" s="74" t="inlineStr">
        <is>
          <t>El idCliente debe haber realizado una compra exitosa del idProducto previamente (Compra Verificada).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RES-POL-03</t>
        </is>
      </c>
      <c r="H9" s="74" t="inlineStr">
        <is>
          <t>El valor de 'calificacion' debe estar estrictamente en el rango permitido (ej. 1 a 5).</t>
        </is>
      </c>
      <c r="I9" s="362" t="n"/>
      <c r="J9" s="362" t="n"/>
      <c r="K9" s="362" t="n"/>
    </row>
    <row r="10" ht="50.1" customFormat="1" customHeight="1" s="177">
      <c r="A10" s="266" t="inlineStr">
        <is>
          <t>Cliente / Administrador</t>
        </is>
      </c>
      <c r="B10" s="266" t="inlineStr">
        <is>
          <t>Eliminar reseña</t>
        </is>
      </c>
      <c r="C10" s="266" t="inlineStr">
        <is>
          <t xml:space="preserve">Borrar una reseña porque incumple las normas de la comunidad (insultos) o por deseo del autor. </t>
        </is>
      </c>
      <c r="D10" s="266">
        <f>ListadoObjetosDominio!B9</f>
        <v/>
      </c>
      <c r="E10" s="266" t="inlineStr">
        <is>
          <t>idResena</t>
        </is>
      </c>
      <c r="F10" s="266" t="inlineStr">
        <is>
          <t>Botón de eliminación en el panel del administrador o en el perfil del cliente.</t>
        </is>
      </c>
      <c r="G10" s="74" t="inlineStr">
        <is>
          <t>RES-POL-05</t>
        </is>
      </c>
      <c r="H10" s="74" t="inlineStr">
        <is>
          <t>El idResena a eliminar debe existir previamente en el sistema.</t>
        </is>
      </c>
      <c r="I10" s="266" t="n"/>
      <c r="J10" s="266" t="inlineStr">
        <is>
          <t>Reseña eliminada</t>
        </is>
      </c>
      <c r="K10" s="266" t="inlineStr">
        <is>
          <t>Si un administrador elimina reseñas negativas sistemáticamente para inflar la calificación, se pierde la ética y confianza del sitio.</t>
        </is>
      </c>
      <c r="L10" s="359" t="n"/>
      <c r="M10" s="359" t="n"/>
      <c r="N10" s="359" t="n"/>
      <c r="O10" s="359" t="n"/>
      <c r="P10" s="359" t="n"/>
      <c r="Q10" s="359" t="n"/>
      <c r="R10" s="359" t="n"/>
      <c r="S10" s="359" t="n"/>
      <c r="T10" s="359" t="n"/>
      <c r="U10" s="359" t="n"/>
      <c r="V10" s="359" t="n"/>
      <c r="W10" s="359" t="n"/>
      <c r="X10" s="359" t="n"/>
      <c r="Y10" s="359" t="n"/>
      <c r="Z10" s="359" t="n"/>
      <c r="AA10" s="359" t="n"/>
      <c r="AB10" s="359" t="n"/>
      <c r="AC10" s="359" t="n"/>
      <c r="AD10" s="359" t="n"/>
      <c r="AE10" s="359" t="n"/>
      <c r="AF10" s="359" t="n"/>
      <c r="AG10" s="359" t="n"/>
      <c r="AH10" s="359" t="n"/>
      <c r="AI10" s="359" t="n"/>
      <c r="AJ10" s="359" t="n"/>
      <c r="AK10" s="359" t="n"/>
      <c r="AL10" s="359" t="n"/>
      <c r="AM10" s="359" t="n"/>
      <c r="AN10" s="359" t="n"/>
      <c r="AO10" s="359" t="n"/>
      <c r="AP10" s="359" t="n"/>
      <c r="AQ10" s="359" t="n"/>
      <c r="AR10" s="359" t="n"/>
      <c r="AS10" s="359" t="n"/>
      <c r="AT10" s="359" t="n"/>
      <c r="AU10" s="359" t="n"/>
      <c r="AV10" s="359" t="n"/>
      <c r="AW10" s="359" t="n"/>
      <c r="AX10" s="359" t="n"/>
      <c r="AY10" s="359" t="n"/>
      <c r="AZ10" s="359" t="n"/>
      <c r="BA10" s="359" t="n"/>
      <c r="BB10" s="359" t="n"/>
      <c r="BC10" s="359" t="n"/>
      <c r="BD10" s="359" t="n"/>
      <c r="BE10" s="359" t="n"/>
      <c r="BF10" s="359" t="n"/>
      <c r="BG10" s="359" t="n"/>
      <c r="BH10" s="359" t="n"/>
      <c r="BI10" s="359" t="n"/>
      <c r="BJ10" s="359" t="n"/>
      <c r="BK10" s="359" t="n"/>
      <c r="BL10" s="359" t="n"/>
      <c r="BM10" s="359" t="n"/>
      <c r="BN10" s="359" t="n"/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RES-POL-06</t>
        </is>
      </c>
      <c r="H11" s="74" t="inlineStr">
        <is>
          <t>El cliente solo puede eliminar sus propias reseñas; el administrador puede eliminar cualquiera que viole las políticas (lenguaje ofensivo).</t>
        </is>
      </c>
      <c r="I11" s="362" t="n"/>
      <c r="J11" s="362" t="n"/>
      <c r="K11" s="362" t="n"/>
    </row>
    <row r="12" ht="50.1" customHeight="1" s="354">
      <c r="A12" s="74" t="inlineStr">
        <is>
          <t>Cliente / Administrador</t>
        </is>
      </c>
      <c r="B12" s="74" t="inlineStr">
        <is>
          <t>Consultar reseñas</t>
        </is>
      </c>
      <c r="C12" s="74" t="inlineStr">
        <is>
          <t>Leer los comentarios y ver el promedio de calificaciones que otros han dejado sobre un producto.</t>
        </is>
      </c>
      <c r="D12" s="74">
        <f>ListadoObjetosDominio!B9</f>
        <v/>
      </c>
      <c r="E12" s="74" t="inlineStr">
        <is>
          <t>idResena, idCliente, idProducto, calificacion, comentario, fecha</t>
        </is>
      </c>
      <c r="F12" s="74" t="inlineStr">
        <is>
          <t>Sección de comentarios al final del detalle del producto en la tienda.</t>
        </is>
      </c>
      <c r="G12" s="74" t="inlineStr">
        <is>
          <t>RES-POL-07</t>
        </is>
      </c>
      <c r="H12" s="74" t="inlineStr">
        <is>
          <t>Asegurar que los datos requeridos sean válidos a nivel de tipo, formato, longitud y obligatoriedad.</t>
        </is>
      </c>
      <c r="I12" s="74" t="n"/>
      <c r="J12" s="74" t="inlineStr">
        <is>
          <t>Reseñas consultadas</t>
        </is>
      </c>
      <c r="K12" s="74" t="inlineStr">
        <is>
          <t>Cargar miles de reseñas al mismo tiempo al abrir un producto puede colapsar la página (se requiere paginación).</t>
        </is>
      </c>
    </row>
    <row r="13" ht="50.1" customHeight="1" s="354"/>
  </sheetData>
  <mergeCells count="32">
    <mergeCell ref="J7:J9"/>
    <mergeCell ref="E5:F5"/>
    <mergeCell ref="C10:C11"/>
    <mergeCell ref="E10:E11"/>
    <mergeCell ref="E4:F4"/>
    <mergeCell ref="C7:C9"/>
    <mergeCell ref="E7:E9"/>
    <mergeCell ref="K7:K9"/>
    <mergeCell ref="B7:B9"/>
    <mergeCell ref="B10:B11"/>
    <mergeCell ref="B3:K3"/>
    <mergeCell ref="I5:I6"/>
    <mergeCell ref="A5:A6"/>
    <mergeCell ref="F7:F9"/>
    <mergeCell ref="G5:H5"/>
    <mergeCell ref="B2:K2"/>
    <mergeCell ref="A10:A11"/>
    <mergeCell ref="B5:B6"/>
    <mergeCell ref="I10:I11"/>
    <mergeCell ref="K10:K11"/>
    <mergeCell ref="D5:D6"/>
    <mergeCell ref="G4:H4"/>
    <mergeCell ref="K5:K6"/>
    <mergeCell ref="A7:A9"/>
    <mergeCell ref="D10:D11"/>
    <mergeCell ref="J5:J6"/>
    <mergeCell ref="I7:I9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="90" zoomScaleNormal="90" workbookViewId="0">
      <selection activeCell="B2" sqref="B2:C2"/>
    </sheetView>
  </sheetViews>
  <sheetFormatPr baseColWidth="8" defaultColWidth="11" defaultRowHeight="15.95"/>
  <cols>
    <col width="41.625" customWidth="1" style="354" min="1" max="2"/>
    <col width="41.5" bestFit="1" customWidth="1" style="354" min="3" max="3"/>
    <col width="41.5" customWidth="1" style="354" min="4" max="4"/>
    <col width="25.5" customWidth="1" style="354" min="5" max="5"/>
  </cols>
  <sheetData>
    <row r="1">
      <c r="A1" s="343" t="inlineStr">
        <is>
          <t>&lt;&lt; Ir al modelo de dominio</t>
        </is>
      </c>
      <c r="D1" s="343" t="n"/>
      <c r="E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ListadoObjetosDominio!B10</f>
        <v/>
      </c>
      <c r="D2" s="332" t="n"/>
      <c r="E2" s="58" t="n"/>
    </row>
    <row r="3">
      <c r="A3" s="21" t="inlineStr">
        <is>
          <t>Descripción</t>
        </is>
      </c>
      <c r="B3" s="228">
        <f>ListadoObjetosDominio!C10</f>
        <v/>
      </c>
    </row>
    <row r="4" ht="51" customHeight="1" s="354">
      <c r="A4" s="29" t="inlineStr">
        <is>
          <t>Identificador único universal (UUID) del carrito de compras.</t>
        </is>
      </c>
      <c r="B4" s="29" t="inlineStr">
        <is>
          <t>Referencia al cliente propietario del carrito.</t>
        </is>
      </c>
      <c r="C4" s="29" t="inlineStr">
        <is>
          <t>Fecha de creación del carrito (LocalDate).</t>
        </is>
      </c>
      <c r="D4" s="29" t="inlineStr">
        <is>
          <t>Estado del carrito (ACTIVO, ABANDONADO, FINALIZADO).</t>
        </is>
      </c>
      <c r="E4" s="29" t="n"/>
    </row>
    <row r="5">
      <c r="A5" s="22" t="inlineStr">
        <is>
          <t>id</t>
        </is>
      </c>
      <c r="B5" s="22" t="inlineStr">
        <is>
          <t>cliente</t>
        </is>
      </c>
      <c r="C5" s="22" t="inlineStr">
        <is>
          <t>fechaCreacion</t>
        </is>
      </c>
      <c r="D5" s="22" t="inlineStr">
        <is>
          <t>estado</t>
        </is>
      </c>
      <c r="E5" s="24" t="n"/>
    </row>
    <row r="6">
      <c r="A6" s="28" t="inlineStr">
        <is>
          <t>CC000001-AAAA-4BBB-8CCC-DDDDEEEEFF01</t>
        </is>
      </c>
      <c r="B6" s="135" t="inlineStr">
        <is>
          <t>3F2504E0-4F89-11D3-9A0C-0305E82C3301</t>
        </is>
      </c>
      <c r="C6" s="140" t="inlineStr">
        <is>
          <t>2026-05-18</t>
        </is>
      </c>
      <c r="D6" s="141" t="inlineStr">
        <is>
          <t>ACTIVO</t>
        </is>
      </c>
      <c r="E6" s="20" t="n"/>
    </row>
    <row r="7">
      <c r="A7" s="28" t="inlineStr">
        <is>
          <t>CC000001-AAAA-4BBB-8CCC-DDDDEEEEFF02</t>
        </is>
      </c>
      <c r="B7" s="135" t="inlineStr">
        <is>
          <t>3F2504E0-4F89-11D3-9A0C-0305E82C3302</t>
        </is>
      </c>
      <c r="C7" s="142" t="inlineStr">
        <is>
          <t>2026-05-19</t>
        </is>
      </c>
      <c r="D7" s="143" t="inlineStr">
        <is>
          <t>FINALIZADO</t>
        </is>
      </c>
      <c r="E7" s="20" t="n"/>
    </row>
    <row r="8">
      <c r="A8" s="28" t="inlineStr">
        <is>
          <t>CC000001-AAAA-4BBB-8CCC-DDDDEEEEFF03</t>
        </is>
      </c>
      <c r="B8" s="135" t="inlineStr">
        <is>
          <t>3F2504E0-4F89-11D3-9A0C-0305E82C3303</t>
        </is>
      </c>
      <c r="C8" s="144" t="inlineStr">
        <is>
          <t>2026-05-19</t>
        </is>
      </c>
      <c r="D8" s="145" t="inlineStr">
        <is>
          <t>ACTIVO</t>
        </is>
      </c>
      <c r="E8" s="20" t="n"/>
    </row>
    <row r="9">
      <c r="A9" s="28" t="inlineStr">
        <is>
          <t>CC000001-AAAA-4BBB-8CCC-DDDDEEEEFF04</t>
        </is>
      </c>
      <c r="B9" s="135" t="inlineStr">
        <is>
          <t>3F2504E0-4F89-11D3-9A0C-0305E82C3304</t>
        </is>
      </c>
      <c r="C9" s="144" t="inlineStr">
        <is>
          <t>2026-05-20</t>
        </is>
      </c>
      <c r="D9" s="145" t="inlineStr">
        <is>
          <t>ABANDONADO</t>
        </is>
      </c>
      <c r="E9" s="20" t="n"/>
      <c r="I9" s="335" t="n"/>
    </row>
    <row r="10">
      <c r="A10" s="28" t="inlineStr">
        <is>
          <t>CC000001-AAAA-4BBB-8CCC-DDDDEEEEFF05</t>
        </is>
      </c>
      <c r="B10" s="135" t="inlineStr">
        <is>
          <t>3F2504E0-4F89-11D3-9A0C-0305E82C3305</t>
        </is>
      </c>
      <c r="C10" s="144" t="inlineStr">
        <is>
          <t>2026-05-21</t>
        </is>
      </c>
      <c r="D10" s="145" t="inlineStr">
        <is>
          <t>ACTIVO</t>
        </is>
      </c>
      <c r="E10" s="20" t="n"/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2:C2"/>
    <mergeCell ref="A16:E16"/>
    <mergeCell ref="A1:C1"/>
    <mergeCell ref="A15:E15"/>
    <mergeCell ref="E1:F1"/>
    <mergeCell ref="A19:E19"/>
    <mergeCell ref="B3:E3"/>
    <mergeCell ref="G1:J1"/>
    <mergeCell ref="A17:E17"/>
    <mergeCell ref="A18:E18"/>
  </mergeCells>
  <hyperlinks>
    <hyperlink ref="A1" location="'Modelo de dominio'!A1" display="&lt;&lt; Ir al modelo de dominio"/>
    <hyperlink ref="E1" location="ListadoObjetosDominio!A1" display="&lt;&lt; Ir al listado de objetos de dominio"/>
    <hyperlink ref="G1" location="'C-Departamento'!A1" display="&lt;&lt; Ir a la caracterización del objeto de dominio"/>
    <hyperlink ref="B6" location="'M-Cliente'!A7" display="'M-Cliente'!A7"/>
    <hyperlink ref="B7" location="'M-Cliente'!A8" display="'M-Cliente'!A8"/>
    <hyperlink ref="B8" location="'M-Cliente'!A9" display="'M-Cliente'!A9"/>
    <hyperlink ref="B9" location="'M-Cliente'!A10" display="'M-Cliente'!A10"/>
    <hyperlink ref="B10" location="'M-Cliente'!A7" display="'M-Cliente'!A7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A21" zoomScale="75" workbookViewId="0">
      <selection activeCell="A14" sqref="A14:K24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12"/>
    <col width="13.125" customWidth="1" style="354" min="13" max="13"/>
    <col width="9" bestFit="1" customWidth="1" style="354" min="14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'M-CarritoCompras'!B2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'M-CarritoCompras'!B3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'M-CarritoCompras'!A5</f>
        <v/>
      </c>
      <c r="B5" s="52">
        <f>'M-CarritoCompras'!A4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inlineStr">
        <is>
          <t>Mayúsculas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'M-CarritoCompras'!B5</f>
        <v/>
      </c>
      <c r="B6" s="45">
        <f>'M-CarritoCompras'!B4</f>
        <v/>
      </c>
      <c r="C6" s="45" t="inlineStr">
        <is>
          <t>No</t>
        </is>
      </c>
      <c r="D6" s="165" t="inlineStr">
        <is>
          <t>&lt;Cliente&gt;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cliente debe existir en el sistema para asignarle una sesión de carrito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98.09999999999999" customHeight="1" s="354">
      <c r="A7" s="45">
        <f>'M-CarritoCompras'!C5</f>
        <v/>
      </c>
      <c r="B7" s="45">
        <f>'M-CarritoCompras'!C4</f>
        <v/>
      </c>
      <c r="C7" s="45" t="inlineStr">
        <is>
          <t>No</t>
        </is>
      </c>
      <c r="D7" s="45" t="inlineStr">
        <is>
          <t>Fecha/Hora</t>
        </is>
      </c>
      <c r="E7" s="45" t="inlineStr">
        <is>
          <t>Si</t>
        </is>
      </c>
      <c r="F7" s="45" t="n"/>
      <c r="G7" s="45" t="n"/>
      <c r="H7" s="45" t="n"/>
      <c r="I7" s="45" t="n"/>
      <c r="J7" s="45" t="n"/>
      <c r="K7" s="45" t="n"/>
      <c r="L7" s="45" t="n"/>
      <c r="M7" s="45" t="inlineStr">
        <is>
          <t>Registra el momento exacto en el que el cliente inició la intención de compra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Si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69.95" customHeight="1" s="354">
      <c r="A8" s="45">
        <f>'M-CarritoCompras'!D5</f>
        <v/>
      </c>
      <c r="B8" s="45">
        <f>'M-CarritoCompras'!D4</f>
        <v/>
      </c>
      <c r="C8" s="45" t="inlineStr">
        <is>
          <t>No</t>
        </is>
      </c>
      <c r="D8" s="45" t="inlineStr">
        <is>
          <t>Texto</t>
        </is>
      </c>
      <c r="E8" s="45" t="inlineStr">
        <is>
          <t>Si</t>
        </is>
      </c>
      <c r="F8" s="45" t="n">
        <v>5</v>
      </c>
      <c r="G8" s="45" t="n">
        <v>20</v>
      </c>
      <c r="H8" s="45" t="n"/>
      <c r="I8" s="45" t="n"/>
      <c r="J8" s="45" t="n"/>
      <c r="K8" s="45" t="n"/>
      <c r="L8" s="45" t="inlineStr">
        <is>
          <t>Capitalizado</t>
        </is>
      </c>
      <c r="M8" s="45" t="inlineStr">
        <is>
          <t>Solo permite los valores 'Activo', 'Abandonado' o 'Convertido'</t>
        </is>
      </c>
      <c r="N8" s="45" t="inlineStr">
        <is>
          <t>No</t>
        </is>
      </c>
      <c r="O8" s="45" t="inlineStr">
        <is>
          <t>No</t>
        </is>
      </c>
      <c r="P8" s="45" t="n"/>
      <c r="Q8" s="45" t="inlineStr">
        <is>
          <t>Si</t>
        </is>
      </c>
      <c r="R8" s="45" t="inlineStr">
        <is>
          <t>Si</t>
        </is>
      </c>
      <c r="S8" s="45" t="inlineStr">
        <is>
          <t>No</t>
        </is>
      </c>
      <c r="T8" s="45" t="inlineStr">
        <is>
          <t>Activo</t>
        </is>
      </c>
      <c r="U8" s="45" t="inlineStr">
        <is>
          <t>No</t>
        </is>
      </c>
      <c r="V8" s="88" t="n"/>
      <c r="W8" s="98" t="n"/>
      <c r="X8" s="89" t="n"/>
      <c r="Y8" s="90" t="n"/>
    </row>
    <row r="10" ht="42" customHeight="1" s="354">
      <c r="A10" s="50" t="inlineStr">
        <is>
          <t>Nombre
combinación unica</t>
        </is>
      </c>
      <c r="B10" s="50" t="inlineStr">
        <is>
          <t>Descripción</t>
        </is>
      </c>
      <c r="C10" s="50" t="inlineStr">
        <is>
          <t>Atributos
involucrados</t>
        </is>
      </c>
    </row>
    <row r="11" ht="33.95" customHeight="1" s="354">
      <c r="A11" s="331">
        <f>'M-CarritoCompras'!E5</f>
        <v/>
      </c>
      <c r="B11" s="376">
        <f>'M-CarritoCompras'!E4</f>
        <v/>
      </c>
      <c r="C11" s="49">
        <f>'M-CarritoCompras'!B5</f>
        <v/>
      </c>
    </row>
    <row r="12" ht="17.1" customHeight="1" s="354">
      <c r="A12" s="362" t="n"/>
      <c r="B12" s="377" t="n"/>
      <c r="C12" s="49">
        <f>'M-CarritoCompras'!D5</f>
        <v/>
      </c>
    </row>
    <row r="13" ht="15.75" customHeight="1" s="354"/>
    <row r="14" ht="15.75" customHeight="1" s="354">
      <c r="A14" s="255" t="inlineStr">
        <is>
          <t>Responsabilidad</t>
        </is>
      </c>
      <c r="B14" s="255" t="inlineStr">
        <is>
          <t>Descripción</t>
        </is>
      </c>
      <c r="C14" s="255" t="inlineStr">
        <is>
          <t>Entradas</t>
        </is>
      </c>
      <c r="D14" s="364" t="n"/>
      <c r="E14" s="360" t="n"/>
      <c r="F14" s="255" t="inlineStr">
        <is>
          <t>Salida</t>
        </is>
      </c>
      <c r="G14" s="360" t="n"/>
      <c r="H14" s="255" t="inlineStr">
        <is>
          <t>Políticas (Reglas de Negocio)</t>
        </is>
      </c>
      <c r="I14" s="360" t="n"/>
      <c r="J14" s="255" t="inlineStr">
        <is>
          <t xml:space="preserve">Excepción </t>
        </is>
      </c>
      <c r="K14" s="360" t="n"/>
    </row>
    <row r="15" ht="29.25" customHeight="1" s="354">
      <c r="A15" s="365" t="n"/>
      <c r="B15" s="365" t="n"/>
      <c r="C15" s="255" t="inlineStr">
        <is>
          <t>Parámettro</t>
        </is>
      </c>
      <c r="D15" s="255" t="inlineStr">
        <is>
          <t xml:space="preserve">Tipo de dato </t>
        </is>
      </c>
      <c r="E15" s="255" t="inlineStr">
        <is>
          <t>Descripci</t>
        </is>
      </c>
      <c r="F15" s="255" t="inlineStr">
        <is>
          <t>Tipo de Dato</t>
        </is>
      </c>
      <c r="G15" s="255" t="inlineStr">
        <is>
          <t>Descripción</t>
        </is>
      </c>
      <c r="H15" s="255" t="inlineStr">
        <is>
          <t>Política</t>
        </is>
      </c>
      <c r="I15" s="255" t="inlineStr">
        <is>
          <t>Descripción</t>
        </is>
      </c>
      <c r="J15" s="255" t="inlineStr">
        <is>
          <t>Detalle</t>
        </is>
      </c>
      <c r="K15" s="255" t="inlineStr">
        <is>
          <t>¿Qué hago?</t>
        </is>
      </c>
    </row>
    <row r="16" ht="138.75" customHeight="1" s="354">
      <c r="A16" s="261">
        <f>'E-CarritoCompras'!B7</f>
        <v/>
      </c>
      <c r="B16" s="261">
        <f>'E-CarritoCompras'!C7</f>
        <v/>
      </c>
      <c r="C16" s="256" t="inlineStr">
        <is>
          <t>carritoNuevo</t>
        </is>
      </c>
      <c r="D16" s="256" t="inlineStr">
        <is>
          <t>CarritoCompras</t>
        </is>
      </c>
      <c r="E16" s="257" t="inlineStr">
        <is>
          <t>Contiene la información base del nuevo carrito a crear.</t>
        </is>
      </c>
      <c r="F16" s="256" t="inlineStr">
        <is>
          <t>Logico</t>
        </is>
      </c>
      <c r="G16" s="256" t="inlineStr">
        <is>
          <t>Retorna verdadero si el carrito se creó exitosamente.</t>
        </is>
      </c>
      <c r="H16" s="197">
        <f>'E-CarritoCompras'!G7</f>
        <v/>
      </c>
      <c r="I16" s="198">
        <f>'E-CarritoCompras'!H7</f>
        <v/>
      </c>
      <c r="J16" s="197" t="inlineStr">
        <is>
          <t>Generar excepción indicando qué campo no cumple con el formato o es obligatorio.</t>
        </is>
      </c>
      <c r="K16" s="197" t="inlineStr">
        <is>
          <t>Detener operación</t>
        </is>
      </c>
    </row>
    <row r="17" ht="75.75" customHeight="1" s="354">
      <c r="A17" s="366" t="n"/>
      <c r="B17" s="366" t="n"/>
      <c r="C17" s="366" t="n"/>
      <c r="D17" s="366" t="n"/>
      <c r="E17" s="366" t="n"/>
      <c r="F17" s="366" t="n"/>
      <c r="G17" s="366" t="n"/>
      <c r="H17" s="197">
        <f>'E-CarritoCompras'!G8</f>
        <v/>
      </c>
      <c r="I17" s="198">
        <f>'E-CarritoCompras'!H8</f>
        <v/>
      </c>
      <c r="J17" s="197" t="inlineStr">
        <is>
          <t>Generar excepción indicando que el cliente asociado no se encuentra registrado.</t>
        </is>
      </c>
      <c r="K17" s="197" t="inlineStr">
        <is>
          <t>Detener operación</t>
        </is>
      </c>
    </row>
    <row r="18" ht="88.5" customHeight="1" s="354">
      <c r="A18" s="365" t="n"/>
      <c r="B18" s="365" t="n"/>
      <c r="C18" s="365" t="n"/>
      <c r="D18" s="365" t="n"/>
      <c r="E18" s="365" t="n"/>
      <c r="F18" s="365" t="n"/>
      <c r="G18" s="365" t="n"/>
      <c r="H18" s="197">
        <f>'E-CarritoCompras'!G9</f>
        <v/>
      </c>
      <c r="I18" s="198">
        <f>'E-CarritoCompras'!H9</f>
        <v/>
      </c>
      <c r="J18" s="197" t="inlineStr">
        <is>
          <t>Generar excepción indicando que el usuario ya tiene un carrito de compras en curso.</t>
        </is>
      </c>
      <c r="K18" s="197" t="inlineStr">
        <is>
          <t>Detener operación</t>
        </is>
      </c>
    </row>
    <row r="19" ht="153.75" customHeight="1" s="354">
      <c r="A19" s="346">
        <f>'E-CarritoCompras'!B10</f>
        <v/>
      </c>
      <c r="B19" s="346">
        <f>'E-CarritoCompras'!C10</f>
        <v/>
      </c>
      <c r="C19" s="346" t="inlineStr">
        <is>
          <t>carritoModificado</t>
        </is>
      </c>
      <c r="D19" s="346" t="inlineStr">
        <is>
          <t>CarritoCompras</t>
        </is>
      </c>
      <c r="E19" s="346" t="inlineStr">
        <is>
          <t>Contiene el carrito con los valores actualizados.</t>
        </is>
      </c>
      <c r="F19" s="346" t="inlineStr">
        <is>
          <t>Logico</t>
        </is>
      </c>
      <c r="G19" s="346" t="inlineStr">
        <is>
          <t>Retorna verdadero si el carrito se actualizó correctamente.</t>
        </is>
      </c>
      <c r="H19" s="346">
        <f>'E-CarritoCompras'!G10</f>
        <v/>
      </c>
      <c r="I19" s="346">
        <f>'E-CarritoCompras'!H10</f>
        <v/>
      </c>
      <c r="J19" s="346" t="inlineStr">
        <is>
          <t>Generar excepción indicando que el carrito no existe o no pertenece al usuario actual.</t>
        </is>
      </c>
      <c r="K19" s="346" t="inlineStr">
        <is>
          <t>Detener operación</t>
        </is>
      </c>
    </row>
    <row r="20" ht="108" customHeight="1" s="354">
      <c r="A20" s="365" t="n"/>
      <c r="B20" s="365" t="n"/>
      <c r="C20" s="365" t="n"/>
      <c r="D20" s="365" t="n"/>
      <c r="E20" s="365" t="n"/>
      <c r="F20" s="365" t="n"/>
      <c r="G20" s="365" t="n"/>
      <c r="H20" s="346">
        <f>'E-CarritoCompras'!G11</f>
        <v/>
      </c>
      <c r="I20" s="346">
        <f>'E-CarritoCompras'!H11</f>
        <v/>
      </c>
      <c r="J20" s="346" t="inlineStr">
        <is>
          <t>Generar excepción indicando que el cálculo del total generó un valor inconsistente (negativo).</t>
        </is>
      </c>
      <c r="K20" s="346" t="inlineStr">
        <is>
          <t>Detener operación</t>
        </is>
      </c>
    </row>
    <row r="21" ht="115.5" customHeight="1" s="354">
      <c r="A21" s="260">
        <f>'E-CarritoCompras'!B12</f>
        <v/>
      </c>
      <c r="B21" s="260">
        <f>'E-CarritoCompras'!C12</f>
        <v/>
      </c>
      <c r="C21" s="259" t="inlineStr">
        <is>
          <t>idCarrito</t>
        </is>
      </c>
      <c r="D21" s="259" t="inlineStr">
        <is>
          <t>alfanumerico</t>
        </is>
      </c>
      <c r="E21" s="259" t="inlineStr">
        <is>
          <t>Identificador exacto del carrito que se desea vaciar.</t>
        </is>
      </c>
      <c r="F21" s="259" t="inlineStr">
        <is>
          <t>Logico</t>
        </is>
      </c>
      <c r="G21" s="259" t="inlineStr">
        <is>
          <t>Retorna verdadero si el carrito fue vaciado exitosamente.</t>
        </is>
      </c>
      <c r="H21" s="259">
        <f>'E-CarritoCompras'!G12</f>
        <v/>
      </c>
      <c r="I21" s="259">
        <f>'E-CarritoCompras'!H12</f>
        <v/>
      </c>
      <c r="J21" s="259" t="inlineStr">
        <is>
          <t>Generar excepción indicando que el carrito a vaciar no se encuentra en el sistema.</t>
        </is>
      </c>
      <c r="K21" s="259" t="inlineStr">
        <is>
          <t>Detener operación</t>
        </is>
      </c>
    </row>
    <row r="22" ht="159" customHeight="1" s="354">
      <c r="A22" s="365" t="n"/>
      <c r="B22" s="365" t="n"/>
      <c r="C22" s="365" t="n"/>
      <c r="D22" s="365" t="n"/>
      <c r="E22" s="365" t="n"/>
      <c r="F22" s="365" t="n"/>
      <c r="G22" s="365" t="n"/>
      <c r="H22" s="259">
        <f>'E-CarritoCompras'!G13</f>
        <v/>
      </c>
      <c r="I22" s="259">
        <f>'E-CarritoCompras'!H13</f>
        <v/>
      </c>
      <c r="J22" s="259" t="inlineStr">
        <is>
          <t>Generar excepción indicando que no se puede alterar un carrito que ya finalizó su proceso de compra.</t>
        </is>
      </c>
      <c r="K22" s="259" t="inlineStr">
        <is>
          <t>Detener operación</t>
        </is>
      </c>
    </row>
    <row r="23" ht="174" customHeight="1" s="354">
      <c r="A23" s="201">
        <f>'E-CarritoCompras'!B14</f>
        <v/>
      </c>
      <c r="B23" s="201">
        <f>'E-CarritoCompras'!C14</f>
        <v/>
      </c>
      <c r="C23" s="196" t="inlineStr">
        <is>
          <t>idCarrito</t>
        </is>
      </c>
      <c r="D23" s="191" t="inlineStr">
        <is>
          <t>alfanumerico</t>
        </is>
      </c>
      <c r="E23" s="191" t="inlineStr">
        <is>
          <t>Identificador del carrito que se transformará en pedido.</t>
        </is>
      </c>
      <c r="F23" s="191" t="inlineStr">
        <is>
          <t>Logico</t>
        </is>
      </c>
      <c r="G23" s="192" t="inlineStr">
        <is>
          <t>Retorna verdadero si el carrito cambió de estado exitosamente.</t>
        </is>
      </c>
      <c r="H23" s="191">
        <f>'E-CarritoCompras'!G14</f>
        <v/>
      </c>
      <c r="I23" s="191">
        <f>'E-CarritoCompras'!H14</f>
        <v/>
      </c>
      <c r="J23" s="193" t="inlineStr">
        <is>
          <t>Generar excepción indicando que no se puede procesar la compra de un carrito vacío.</t>
        </is>
      </c>
      <c r="K23" s="193" t="inlineStr">
        <is>
          <t>Detener operación</t>
        </is>
      </c>
    </row>
    <row r="24" ht="174" customHeight="1" s="354">
      <c r="A24" s="202">
        <f>'E-CarritoCompras'!B15</f>
        <v/>
      </c>
      <c r="B24" s="202">
        <f>'E-CarritoCompras'!C15</f>
        <v/>
      </c>
      <c r="C24" s="199" t="inlineStr">
        <is>
          <t>idCliente</t>
        </is>
      </c>
      <c r="D24" s="199" t="inlineStr">
        <is>
          <t>alfanumerico</t>
        </is>
      </c>
      <c r="E24" s="199" t="inlineStr">
        <is>
          <t>Identificador del cliente del cual se quiere consultar el carrito activo.</t>
        </is>
      </c>
      <c r="F24" s="199" t="inlineStr">
        <is>
          <t>CarritoCompras</t>
        </is>
      </c>
      <c r="G24" s="199" t="inlineStr">
        <is>
          <t>Retorna el objeto del carrito de compras activo con su estado.</t>
        </is>
      </c>
      <c r="H24" s="199">
        <f>'E-CarritoCompras'!G15</f>
        <v/>
      </c>
      <c r="I24" s="199">
        <f>'E-CarritoCompras'!H15</f>
        <v/>
      </c>
      <c r="J24" s="199" t="inlineStr">
        <is>
          <t>Generar excepción indicando que los parámetros de consulta tienen un formato incorrecto.</t>
        </is>
      </c>
      <c r="K24" s="199" t="inlineStr">
        <is>
          <t>Detener operación</t>
        </is>
      </c>
    </row>
  </sheetData>
  <mergeCells count="32"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E21:E22"/>
    <mergeCell ref="G21:G22"/>
    <mergeCell ref="F14:G14"/>
    <mergeCell ref="D16:D18"/>
    <mergeCell ref="H14:I14"/>
    <mergeCell ref="B21:B22"/>
    <mergeCell ref="A11:A12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D6" location="'M-Cliente'!B2" display="&lt;Cliente&gt;"/>
    <hyperlink ref="A19" location="RANGE!W4" display="Eliminar de forma definitiva la información de un nuevo País"/>
    <hyperlink ref="A21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5"/>
  <sheetViews>
    <sheetView topLeftCell="E10" workbookViewId="0">
      <selection activeCell="H15" sqref="H15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4.5" bestFit="1" customWidth="1" style="359" min="10" max="10"/>
    <col width="45.5" bestFit="1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ListadoObjetosDominio!B10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ListadoObjetosDominio!C10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Cliente</t>
        </is>
      </c>
      <c r="B7" s="266" t="inlineStr">
        <is>
          <t>Crear carrito</t>
        </is>
      </c>
      <c r="C7" s="266" t="inlineStr">
        <is>
          <t>Iniciar una nueva sesión de compras asignando un contenedor vacío al usuario.</t>
        </is>
      </c>
      <c r="D7" s="266">
        <f>ListadoObjetosDominio!B10</f>
        <v/>
      </c>
      <c r="E7" s="266" t="inlineStr">
        <is>
          <t>idCliente, fechaCreacion</t>
        </is>
      </c>
      <c r="F7" s="266" t="inlineStr">
        <is>
          <t>Registro inicial del carrito asociado al perfil del comprador.</t>
        </is>
      </c>
      <c r="G7" s="74" t="inlineStr">
        <is>
          <t>CAR-POL-01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>Motor de Caché</t>
        </is>
      </c>
      <c r="J7" s="266" t="inlineStr">
        <is>
          <t>Carrito creado</t>
        </is>
      </c>
      <c r="K7" s="266" t="inlineStr">
        <is>
          <t>Riesgo de "Carritos abandonados" (usuarios que crean el carrito pero nunca pagan), ocupando espacio inútil en la BD y que saturen la memoria si el cliente nunca agrega nada.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CAR-POL-02</t>
        </is>
      </c>
      <c r="H8" s="74" t="inlineStr">
        <is>
          <t>El idCliente asociado debe existir previamente en el sistema.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CAR-POL-03</t>
        </is>
      </c>
      <c r="H9" s="74" t="inlineStr">
        <is>
          <t>Un cliente solo puede tener un (1) carrito en estado "Activo" a la vez.</t>
        </is>
      </c>
      <c r="I9" s="362" t="n"/>
      <c r="J9" s="362" t="n"/>
      <c r="K9" s="362" t="n"/>
    </row>
    <row r="10" ht="50.1" customHeight="1" s="354">
      <c r="A10" s="266" t="inlineStr">
        <is>
          <t>Cliente</t>
        </is>
      </c>
      <c r="B10" s="266" t="inlineStr">
        <is>
          <t>Actualizar carrito (Añadir/Modificar)</t>
        </is>
      </c>
      <c r="C10" s="266" t="inlineStr">
        <is>
          <t>Recalcular el total del carrito cuando el usuario agrega nuevos productos o cambia cantidades.</t>
        </is>
      </c>
      <c r="D10" s="266">
        <f>ListadoObjetosDominio!B10</f>
        <v/>
      </c>
      <c r="E10" s="266" t="inlineStr">
        <is>
          <t>idCarrito, total</t>
        </is>
      </c>
      <c r="F10" s="266" t="inlineStr">
        <is>
          <t>Formulario interno que ajusta el valor a pagar según los productos seleccionados.</t>
        </is>
      </c>
      <c r="G10" s="74" t="inlineStr">
        <is>
          <t>CAR-POL-04</t>
        </is>
      </c>
      <c r="H10" s="74" t="inlineStr">
        <is>
          <t>El idCarrito a actualizar debe existir y pertenecer al cliente en sesión.</t>
        </is>
      </c>
      <c r="I10" s="266" t="inlineStr">
        <is>
          <t>Motor de Caché</t>
        </is>
      </c>
      <c r="J10" s="266" t="inlineStr">
        <is>
          <t>Carrito actualizado</t>
        </is>
      </c>
      <c r="K10" s="266" t="inlineStr">
        <is>
          <t>Dilema arquitectónico: ¿Se debe descontar (reservar) el stock del producto al meterlo al carrito, o solo al momento de pagar?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CAR-POL-05</t>
        </is>
      </c>
      <c r="H11" s="74" t="inlineStr">
        <is>
          <t>El nuevo total calculado no puede ser un valor negativo.</t>
        </is>
      </c>
      <c r="I11" s="362" t="n"/>
      <c r="J11" s="362" t="n"/>
      <c r="K11" s="362" t="n"/>
    </row>
    <row r="12" ht="50.1" customHeight="1" s="354">
      <c r="A12" s="266" t="inlineStr">
        <is>
          <t>Cliente</t>
        </is>
      </c>
      <c r="B12" s="266" t="inlineStr">
        <is>
          <t>Vaciar carrito</t>
        </is>
      </c>
      <c r="C12" s="266" t="inlineStr">
        <is>
          <t>Eliminar todos los artículos seleccionados y reiniciar el valor del carrito para empezar de cero.</t>
        </is>
      </c>
      <c r="D12" s="266">
        <f>ListadoObjetosDominio!B10</f>
        <v/>
      </c>
      <c r="E12" s="266" t="inlineStr">
        <is>
          <t>idCarrito,estado</t>
        </is>
      </c>
      <c r="F12" s="266" t="inlineStr">
        <is>
          <t>Acción de limpieza del carrtio de compras.</t>
        </is>
      </c>
      <c r="G12" s="74" t="inlineStr">
        <is>
          <t>CAR-POL-06</t>
        </is>
      </c>
      <c r="H12" s="74" t="inlineStr">
        <is>
          <t>El idCarrito a vaciar debe existir previamente en el sistema.</t>
        </is>
      </c>
      <c r="I12" s="266" t="inlineStr">
        <is>
          <t>Motor de Caché</t>
        </is>
      </c>
      <c r="J12" s="266" t="inlineStr">
        <is>
          <t>Carrito vaciado</t>
        </is>
      </c>
      <c r="K12" s="266" t="inlineStr">
        <is>
          <t>Si el cliente presiona "Vaciar" por error, no hay forma nativa de recuperar la lista de productos que ya había seleccionado.</t>
        </is>
      </c>
    </row>
    <row r="13" ht="50.1" customHeight="1" s="354">
      <c r="A13" s="362" t="n"/>
      <c r="B13" s="362" t="n"/>
      <c r="C13" s="362" t="n"/>
      <c r="D13" s="362" t="n"/>
      <c r="E13" s="362" t="n"/>
      <c r="F13" s="362" t="n"/>
      <c r="G13" s="74" t="inlineStr">
        <is>
          <t>CAR-POL-07</t>
        </is>
      </c>
      <c r="H13" s="74" t="inlineStr">
        <is>
          <t>El sistema solo puede vaciar el carrito si no ha sido transformado ya en un "Pedido" pagado.</t>
        </is>
      </c>
      <c r="I13" s="362" t="n"/>
      <c r="J13" s="362" t="n"/>
      <c r="K13" s="362" t="n"/>
    </row>
    <row r="14" ht="50.1" customHeight="1" s="354">
      <c r="A14" s="266" t="inlineStr">
        <is>
          <t>Cliente</t>
        </is>
      </c>
      <c r="B14" s="74" t="inlineStr">
        <is>
          <t>Consultar carrito</t>
        </is>
      </c>
      <c r="C14" s="74" t="inlineStr">
        <is>
          <t>Visualizar el resumen de la compra, incluyendo el monto total acumulado antes del checkout.</t>
        </is>
      </c>
      <c r="D14" s="74">
        <f>ListadoObjetosDominio!B10</f>
        <v/>
      </c>
      <c r="E14" s="74" t="inlineStr">
        <is>
          <t>idCarrito, idCliente, fechaCreacion, total</t>
        </is>
      </c>
      <c r="F14" s="74" t="inlineStr">
        <is>
          <t>Vista desplegable lateral o página de "Mi Carrito" con el resumen financiero.</t>
        </is>
      </c>
      <c r="G14" s="74" t="inlineStr">
        <is>
          <t>CAR-POL-08</t>
        </is>
      </c>
      <c r="H14" s="74" t="inlineStr">
        <is>
          <t>Asegurar que los datos requeridos sean válidos a nivel de tipo, formato, longitud y obligatoriedad.</t>
        </is>
      </c>
      <c r="I14" s="74" t="inlineStr">
        <is>
          <t>Motor de Caché</t>
        </is>
      </c>
      <c r="J14" s="74" t="inlineStr">
        <is>
          <t>Carrito consultado</t>
        </is>
      </c>
      <c r="K14" s="74" t="inlineStr">
        <is>
          <t>Si el administrador cambia el precio de un producto, ¿el total del carrito se actualiza automáticamente o se le respeta el precio viejo al cliente?</t>
        </is>
      </c>
    </row>
    <row r="15" ht="43.5" customHeight="1" s="354">
      <c r="A15" s="171" t="inlineStr">
        <is>
          <t xml:space="preserve">Sistema </t>
        </is>
      </c>
      <c r="B15" s="171" t="inlineStr">
        <is>
          <t>Cambiar estado (Convertir a Pedido)</t>
        </is>
      </c>
      <c r="C15" s="171" t="inlineStr">
        <is>
          <t>Actualizar el carrito para indicar que ya fue pagado y cerrado exitosamente</t>
        </is>
      </c>
      <c r="D15" s="174" t="inlineStr">
        <is>
          <t>CarritoCompras</t>
        </is>
      </c>
      <c r="E15" s="174" t="inlineStr">
        <is>
          <t>idCarrito, estado</t>
        </is>
      </c>
      <c r="F15" s="171" t="inlineStr">
        <is>
          <t>Acción invisible al usuario, ocurre al finalizar el checkout.</t>
        </is>
      </c>
      <c r="G15" s="174" t="inlineStr">
        <is>
          <t>CAR-POL-09</t>
        </is>
      </c>
      <c r="H15" s="171" t="inlineStr">
        <is>
          <t>El estado solo puede pasar a "Convertido" si el carrito tenía al menos un producto en su detalle.</t>
        </is>
      </c>
      <c r="I15" s="174" t="n"/>
      <c r="J15" s="174" t="inlineStr">
        <is>
          <t>Carrito convertido exitosamente</t>
        </is>
      </c>
      <c r="K15" s="174" t="inlineStr">
        <is>
          <t>N/A</t>
        </is>
      </c>
    </row>
  </sheetData>
  <mergeCells count="41">
    <mergeCell ref="B12:B13"/>
    <mergeCell ref="J7:J9"/>
    <mergeCell ref="F12:F13"/>
    <mergeCell ref="E5:F5"/>
    <mergeCell ref="C10:C11"/>
    <mergeCell ref="E10:E11"/>
    <mergeCell ref="E4:F4"/>
    <mergeCell ref="C7:C9"/>
    <mergeCell ref="E7:E9"/>
    <mergeCell ref="K7:K9"/>
    <mergeCell ref="A12:A13"/>
    <mergeCell ref="C12:C13"/>
    <mergeCell ref="I12:I13"/>
    <mergeCell ref="K12:K13"/>
    <mergeCell ref="B7:B9"/>
    <mergeCell ref="D12:D13"/>
    <mergeCell ref="B10:B11"/>
    <mergeCell ref="B3:K3"/>
    <mergeCell ref="I5:I6"/>
    <mergeCell ref="A5:A6"/>
    <mergeCell ref="F7:F9"/>
    <mergeCell ref="J12:J13"/>
    <mergeCell ref="G5:H5"/>
    <mergeCell ref="B2:K2"/>
    <mergeCell ref="A10:A11"/>
    <mergeCell ref="I10:I11"/>
    <mergeCell ref="B5:B6"/>
    <mergeCell ref="K10:K11"/>
    <mergeCell ref="D5:D6"/>
    <mergeCell ref="G4:H4"/>
    <mergeCell ref="K5:K6"/>
    <mergeCell ref="D10:D11"/>
    <mergeCell ref="A7:A9"/>
    <mergeCell ref="J5:J6"/>
    <mergeCell ref="I7:I9"/>
    <mergeCell ref="E12:E13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="93" zoomScaleNormal="93" workbookViewId="0">
      <selection activeCell="A1" sqref="A1:C1"/>
    </sheetView>
  </sheetViews>
  <sheetFormatPr baseColWidth="8" defaultColWidth="11" defaultRowHeight="15.95"/>
  <cols>
    <col width="41.625" customWidth="1" style="354" min="1" max="2"/>
    <col width="41.5" bestFit="1" customWidth="1" style="354" min="3" max="3"/>
    <col width="41.5" customWidth="1" style="354" min="4" max="4"/>
    <col width="25.5" customWidth="1" style="354" min="5" max="5"/>
  </cols>
  <sheetData>
    <row r="1">
      <c r="A1" s="343" t="inlineStr">
        <is>
          <t>&lt;&lt; Ir al modelo de dominio</t>
        </is>
      </c>
      <c r="D1" s="343" t="n"/>
      <c r="E1" s="335" t="inlineStr">
        <is>
          <t>&lt;&lt; Ir al listado de objetos de dominio</t>
        </is>
      </c>
      <c r="G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ListadoObjetosDominio!B11</f>
        <v/>
      </c>
      <c r="D2" s="332" t="n"/>
      <c r="E2" s="58" t="n"/>
    </row>
    <row r="3">
      <c r="A3" s="21" t="inlineStr">
        <is>
          <t>Descripción</t>
        </is>
      </c>
      <c r="B3" s="228">
        <f>ListadoObjetosDominio!C11</f>
        <v/>
      </c>
    </row>
    <row r="4" ht="68.09999999999999" customHeight="1" s="354">
      <c r="A4" s="29" t="inlineStr">
        <is>
          <t>Identificador único universal (UUID) del ítem del carrito.</t>
        </is>
      </c>
      <c r="B4" s="29" t="inlineStr">
        <is>
          <t>Referencia al carrito de compras al que pertenece el ítem.</t>
        </is>
      </c>
      <c r="C4" s="29" t="inlineStr">
        <is>
          <t>Referencia al producto agregado al carrito.</t>
        </is>
      </c>
      <c r="D4" s="29" t="inlineStr">
        <is>
          <t>Número de unidades del producto en el carrito.</t>
        </is>
      </c>
      <c r="E4" s="29" t="inlineStr">
        <is>
          <t>Precio unitario congelado del producto al momento de agregarlo.</t>
        </is>
      </c>
      <c r="F4" t="inlineStr">
        <is>
          <t>Subtotal del ítem (cantidad × precioUnitario).</t>
        </is>
      </c>
    </row>
    <row r="5">
      <c r="A5" s="22" t="inlineStr">
        <is>
          <t>id</t>
        </is>
      </c>
      <c r="B5" s="22" t="inlineStr">
        <is>
          <t>carritoCompras</t>
        </is>
      </c>
      <c r="C5" s="22" t="inlineStr">
        <is>
          <t>producto</t>
        </is>
      </c>
      <c r="D5" s="22" t="inlineStr">
        <is>
          <t>cantidad</t>
        </is>
      </c>
      <c r="E5" s="24" t="inlineStr">
        <is>
          <t>precioUnitario</t>
        </is>
      </c>
      <c r="F5" t="inlineStr">
        <is>
          <t>subtotal</t>
        </is>
      </c>
    </row>
    <row r="6">
      <c r="A6" s="28" t="inlineStr">
        <is>
          <t>1C100000-AAAA-4BBB-8CCC-000000000001</t>
        </is>
      </c>
      <c r="B6" s="134" t="inlineStr">
        <is>
          <t>CC000001-AAAA-4BBB-8CCC-DDDDEEEEFF01</t>
        </is>
      </c>
      <c r="C6" s="137" t="inlineStr">
        <is>
          <t>4F8A0001-2222-4333-8444-555566667701</t>
        </is>
      </c>
      <c r="D6" s="139" t="n">
        <v>1</v>
      </c>
      <c r="E6" s="20" t="n">
        <v>89900</v>
      </c>
      <c r="F6" t="n">
        <v>89900</v>
      </c>
    </row>
    <row r="7">
      <c r="A7" s="28" t="inlineStr">
        <is>
          <t>1C100000-AAAA-4BBB-8CCC-000000000002</t>
        </is>
      </c>
      <c r="B7" s="134" t="inlineStr">
        <is>
          <t>CC000001-AAAA-4BBB-8CCC-DDDDEEEEFF02</t>
        </is>
      </c>
      <c r="C7" s="137" t="inlineStr">
        <is>
          <t>4F8A0001-2222-4333-8444-555566667702</t>
        </is>
      </c>
      <c r="D7" s="139" t="n">
        <v>2</v>
      </c>
      <c r="E7" s="20" t="n">
        <v>145000</v>
      </c>
      <c r="F7" t="n">
        <v>290000</v>
      </c>
    </row>
    <row r="8">
      <c r="A8" s="28" t="inlineStr">
        <is>
          <t>1C100000-AAAA-4BBB-8CCC-000000000003</t>
        </is>
      </c>
      <c r="B8" s="134" t="inlineStr">
        <is>
          <t>CC000001-AAAA-4BBB-8CCC-DDDDEEEEFF03</t>
        </is>
      </c>
      <c r="C8" s="137" t="inlineStr">
        <is>
          <t>4F8A0001-2222-4333-8444-555566667703</t>
        </is>
      </c>
      <c r="D8" s="139" t="n">
        <v>3</v>
      </c>
      <c r="E8" s="20" t="n">
        <v>35500</v>
      </c>
      <c r="F8" t="n">
        <v>106500</v>
      </c>
    </row>
    <row r="9">
      <c r="A9" s="28" t="inlineStr">
        <is>
          <t>1C100000-AAAA-4BBB-8CCC-000000000004</t>
        </is>
      </c>
      <c r="B9" s="134" t="inlineStr">
        <is>
          <t>CC000001-AAAA-4BBB-8CCC-DDDDEEEEFF04</t>
        </is>
      </c>
      <c r="C9" s="137" t="inlineStr">
        <is>
          <t>4F8A0001-2222-4333-8444-555566667705</t>
        </is>
      </c>
      <c r="D9" s="139" t="n">
        <v>1</v>
      </c>
      <c r="E9" s="20" t="n">
        <v>189900</v>
      </c>
      <c r="F9" t="n">
        <v>189900</v>
      </c>
      <c r="I9" s="335" t="n"/>
    </row>
    <row r="10">
      <c r="A10" s="28" t="inlineStr">
        <is>
          <t>1C100000-AAAA-4BBB-8CCC-000000000005</t>
        </is>
      </c>
      <c r="B10" s="134" t="inlineStr">
        <is>
          <t>CC000001-AAAA-4BBB-8CCC-DDDDEEEEFF05</t>
        </is>
      </c>
      <c r="C10" s="137" t="inlineStr">
        <is>
          <t>4F8A0001-2222-4333-8444-555566667701</t>
        </is>
      </c>
      <c r="D10" s="139" t="n">
        <v>2</v>
      </c>
      <c r="E10" s="20" t="n">
        <v>89900</v>
      </c>
      <c r="F10" t="n">
        <v>179800</v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28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2:C2"/>
    <mergeCell ref="A16:E16"/>
    <mergeCell ref="A1:C1"/>
    <mergeCell ref="A15:E15"/>
    <mergeCell ref="E1:F1"/>
    <mergeCell ref="A19:E19"/>
    <mergeCell ref="B3:E3"/>
    <mergeCell ref="G1:J1"/>
    <mergeCell ref="A17:E17"/>
    <mergeCell ref="A18:E18"/>
  </mergeCells>
  <hyperlinks>
    <hyperlink ref="A1" location="'Modelo de dominio'!A1" display="&lt;&lt; Ir al modelo de dominio"/>
    <hyperlink ref="E1" location="ListadoObjetosDominio!A1" display="&lt;&lt; Ir al listado de objetos de dominio"/>
    <hyperlink ref="G1" location="ListadoObjetosDominio!B11" display="&lt;&lt; Ir a la caracterización del objeto de dominio"/>
    <hyperlink ref="C6" location="'M-Producto'!A6" display="P-0001"/>
    <hyperlink ref="C7" location="'M-Producto'!A7" display="P-0002"/>
    <hyperlink ref="C8" location="'M-Producto'!A8" display="P-0003"/>
    <hyperlink ref="C9" location="'M-Producto'!A9" display="P-0004"/>
    <hyperlink ref="C10" location="'M-Producto'!A10" display="P-000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2"/>
  <sheetViews>
    <sheetView topLeftCell="A6" zoomScale="75" workbookViewId="0">
      <selection activeCell="K22" sqref="A14:K22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'M-ItemCarrito'!B2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'M-ItemCarrito'!B3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'M-ItemCarrito'!A5</f>
        <v/>
      </c>
      <c r="B5" s="52">
        <f>'M-ItemCarrito'!A4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inlineStr">
        <is>
          <t>Mayúsculas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'M-ItemCarrito'!B5</f>
        <v/>
      </c>
      <c r="B6" s="45">
        <f>'M-ItemCarrito'!B4</f>
        <v/>
      </c>
      <c r="C6" s="45" t="inlineStr">
        <is>
          <t>No</t>
        </is>
      </c>
      <c r="D6" s="45" t="inlineStr">
        <is>
          <t>&lt;CarritoCompras&gt;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carrito debe existir y estar en estado Activo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11.95" customHeight="1" s="354">
      <c r="A7" s="45">
        <f>'M-ItemCarrito'!C5</f>
        <v/>
      </c>
      <c r="B7" s="45">
        <f>'M-ItemCarrito'!C4</f>
        <v/>
      </c>
      <c r="C7" s="45" t="inlineStr">
        <is>
          <t>No</t>
        </is>
      </c>
      <c r="D7" s="45" t="inlineStr">
        <is>
          <t>&lt;Producto&gt;</t>
        </is>
      </c>
      <c r="E7" s="45" t="inlineStr">
        <is>
          <t>Si</t>
        </is>
      </c>
      <c r="F7" s="45" t="n"/>
      <c r="G7" s="45" t="n"/>
      <c r="H7" s="45" t="n"/>
      <c r="I7" s="45" t="n"/>
      <c r="J7" s="45" t="n"/>
      <c r="K7" s="45" t="n"/>
      <c r="L7" s="45" t="n"/>
      <c r="M7" s="45" t="inlineStr">
        <is>
          <t>El producto debe existir y estar Activo en el catálogo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140.1" customHeight="1" s="354">
      <c r="A8" s="45">
        <f>'M-ItemCarrito'!D5</f>
        <v/>
      </c>
      <c r="B8" s="45">
        <f>'M-ItemCarrito'!D4</f>
        <v/>
      </c>
      <c r="C8" s="45" t="inlineStr">
        <is>
          <t>No</t>
        </is>
      </c>
      <c r="D8" s="45" t="inlineStr">
        <is>
          <t>Numerico entero</t>
        </is>
      </c>
      <c r="E8" s="45" t="inlineStr">
        <is>
          <t>Si</t>
        </is>
      </c>
      <c r="F8" s="45" t="n"/>
      <c r="G8" s="45" t="n"/>
      <c r="H8" s="45" t="n"/>
      <c r="I8" s="45" t="n"/>
      <c r="J8" s="45" t="n">
        <v>1</v>
      </c>
      <c r="K8" s="45" t="n">
        <v>9999</v>
      </c>
      <c r="L8" s="45" t="n"/>
      <c r="M8" s="45" t="inlineStr">
        <is>
          <t>No puede ser cero o negativa. Si el cliente pone cero, el ítem se elimina del carrito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>
        <v>1</v>
      </c>
      <c r="U8" s="45" t="inlineStr">
        <is>
          <t>No</t>
        </is>
      </c>
      <c r="V8" s="88" t="n"/>
      <c r="W8" s="98" t="n"/>
      <c r="X8" s="89" t="n"/>
      <c r="Y8" s="90" t="n"/>
    </row>
    <row r="10" ht="42" customHeight="1" s="354">
      <c r="A10" s="50" t="inlineStr">
        <is>
          <t>Nombre
combinación unica</t>
        </is>
      </c>
      <c r="B10" s="50" t="inlineStr">
        <is>
          <t>Descripción</t>
        </is>
      </c>
      <c r="C10" s="50" t="inlineStr">
        <is>
          <t>Atributos
involucrados</t>
        </is>
      </c>
    </row>
    <row r="11" ht="33.95" customHeight="1" s="354">
      <c r="A11" s="331">
        <f>'M-ItemCarrito'!E5</f>
        <v/>
      </c>
      <c r="B11" s="376">
        <f>'M-ItemCarrito'!E4</f>
        <v/>
      </c>
      <c r="C11" s="49">
        <f>'M-ItemCarrito'!B5</f>
        <v/>
      </c>
    </row>
    <row r="12" ht="17.1" customHeight="1" s="354">
      <c r="A12" s="362" t="n"/>
      <c r="B12" s="377" t="n"/>
      <c r="C12" s="49">
        <f>'M-ItemCarrito'!C5</f>
        <v/>
      </c>
    </row>
    <row r="13" ht="15.75" customHeight="1" s="354"/>
    <row r="14" ht="15.75" customHeight="1" s="354">
      <c r="A14" s="255" t="inlineStr">
        <is>
          <t>Responsabilidad</t>
        </is>
      </c>
      <c r="B14" s="255" t="inlineStr">
        <is>
          <t>Descripción</t>
        </is>
      </c>
      <c r="C14" s="255" t="inlineStr">
        <is>
          <t>Entradas</t>
        </is>
      </c>
      <c r="D14" s="364" t="n"/>
      <c r="E14" s="360" t="n"/>
      <c r="F14" s="255" t="inlineStr">
        <is>
          <t>Salida</t>
        </is>
      </c>
      <c r="G14" s="360" t="n"/>
      <c r="H14" s="255" t="inlineStr">
        <is>
          <t>Políticas (Reglas de Negocio)</t>
        </is>
      </c>
      <c r="I14" s="360" t="n"/>
      <c r="J14" s="255" t="inlineStr">
        <is>
          <t xml:space="preserve">Excepción </t>
        </is>
      </c>
      <c r="K14" s="360" t="n"/>
    </row>
    <row r="15" ht="29.25" customHeight="1" s="354">
      <c r="A15" s="365" t="n"/>
      <c r="B15" s="365" t="n"/>
      <c r="C15" s="255" t="inlineStr">
        <is>
          <t>Parámettro</t>
        </is>
      </c>
      <c r="D15" s="255" t="inlineStr">
        <is>
          <t xml:space="preserve">Tipo de dato </t>
        </is>
      </c>
      <c r="E15" s="255" t="inlineStr">
        <is>
          <t>Descripci</t>
        </is>
      </c>
      <c r="F15" s="255" t="inlineStr">
        <is>
          <t>Tipo de Dato</t>
        </is>
      </c>
      <c r="G15" s="255" t="inlineStr">
        <is>
          <t>Descripción</t>
        </is>
      </c>
      <c r="H15" s="255" t="inlineStr">
        <is>
          <t>Política</t>
        </is>
      </c>
      <c r="I15" s="255" t="inlineStr">
        <is>
          <t>Descripción</t>
        </is>
      </c>
      <c r="J15" s="255" t="inlineStr">
        <is>
          <t>Detalle</t>
        </is>
      </c>
      <c r="K15" s="255" t="inlineStr">
        <is>
          <t>¿Qué hago?</t>
        </is>
      </c>
    </row>
    <row r="16" ht="138.75" customHeight="1" s="354">
      <c r="A16" s="261">
        <f>'E-ItemCarrito'!B7</f>
        <v/>
      </c>
      <c r="B16" s="261">
        <f>'E-ItemCarrito'!C7</f>
        <v/>
      </c>
      <c r="C16" s="256" t="inlineStr">
        <is>
          <t>itemNuevo</t>
        </is>
      </c>
      <c r="D16" s="256" t="inlineStr">
        <is>
          <t>ItemCarrito</t>
        </is>
      </c>
      <c r="E16" s="257" t="inlineStr">
        <is>
          <t>Contiene la información del producto y la cantidad a agregar.</t>
        </is>
      </c>
      <c r="F16" s="256" t="inlineStr">
        <is>
          <t>Logico</t>
        </is>
      </c>
      <c r="G16" s="256" t="inlineStr">
        <is>
          <t>Retorna verdadero si el producto se agregó exitosamente.</t>
        </is>
      </c>
      <c r="H16" s="197">
        <f>'E-ItemCarrito'!G7</f>
        <v/>
      </c>
      <c r="I16" s="198">
        <f>'E-ItemCarrito'!H7</f>
        <v/>
      </c>
      <c r="J16" s="197" t="inlineStr">
        <is>
          <t>Generar excepción indicando qué campo no cumple con el formato o es obligatorio.</t>
        </is>
      </c>
      <c r="K16" s="197" t="inlineStr">
        <is>
          <t>Detener operación</t>
        </is>
      </c>
    </row>
    <row r="17" ht="100.5" customHeight="1" s="354">
      <c r="A17" s="366" t="n"/>
      <c r="B17" s="366" t="n"/>
      <c r="C17" s="366" t="n"/>
      <c r="D17" s="366" t="n"/>
      <c r="E17" s="366" t="n"/>
      <c r="F17" s="366" t="n"/>
      <c r="G17" s="366" t="n"/>
      <c r="H17" s="197">
        <f>'E-ItemCarrito'!G8</f>
        <v/>
      </c>
      <c r="I17" s="198">
        <f>'E-ItemCarrito'!H8</f>
        <v/>
      </c>
      <c r="J17" s="197" t="inlineStr">
        <is>
          <t>Generar excepción indicando que el carrito o el producto no se encuentran registrados.</t>
        </is>
      </c>
      <c r="K17" s="197" t="inlineStr">
        <is>
          <t>Detener operación</t>
        </is>
      </c>
    </row>
    <row r="18" ht="75.75" customHeight="1" s="354">
      <c r="A18" s="365" t="n"/>
      <c r="B18" s="365" t="n"/>
      <c r="C18" s="365" t="n"/>
      <c r="D18" s="365" t="n"/>
      <c r="E18" s="365" t="n"/>
      <c r="F18" s="365" t="n"/>
      <c r="G18" s="365" t="n"/>
      <c r="H18" s="197">
        <f>'E-ItemCarrito'!G9</f>
        <v/>
      </c>
      <c r="I18" s="198">
        <f>'E-ItemCarrito'!H9</f>
        <v/>
      </c>
      <c r="J18" s="197" t="inlineStr">
        <is>
          <t>Generar excepción indicando que la cantidad a agregar debe ser al menos 1.</t>
        </is>
      </c>
      <c r="K18" s="197" t="inlineStr">
        <is>
          <t>Detener operación</t>
        </is>
      </c>
    </row>
    <row r="19" ht="138.75" customHeight="1" s="354">
      <c r="A19" s="346">
        <f>'E-ItemCarrito'!B10</f>
        <v/>
      </c>
      <c r="B19" s="346">
        <f>'E-ItemCarrito'!C10</f>
        <v/>
      </c>
      <c r="C19" s="346" t="inlineStr">
        <is>
          <t>itemModificado</t>
        </is>
      </c>
      <c r="D19" s="346" t="inlineStr">
        <is>
          <t>ItemCarrito</t>
        </is>
      </c>
      <c r="E19" s="346" t="inlineStr">
        <is>
          <t>Contiene el identificador del ítem y la nueva cantidad deseada.</t>
        </is>
      </c>
      <c r="F19" s="346" t="inlineStr">
        <is>
          <t>Logico</t>
        </is>
      </c>
      <c r="G19" s="346" t="inlineStr">
        <is>
          <t>Retorna verdadero si la cantidad se actualizó correctamente.</t>
        </is>
      </c>
      <c r="H19" s="346">
        <f>'E-ItemCarrito'!G10</f>
        <v/>
      </c>
      <c r="I19" s="346">
        <f>'E-ItemCarrito'!H10</f>
        <v/>
      </c>
      <c r="J19" s="346" t="inlineStr">
        <is>
          <t>Generar excepción indicando que el ítem a modificar no existe en el carrito actual.</t>
        </is>
      </c>
      <c r="K19" s="346" t="inlineStr">
        <is>
          <t>Detener operación</t>
        </is>
      </c>
    </row>
    <row r="20" ht="231" customHeight="1" s="354">
      <c r="A20" s="365" t="n"/>
      <c r="B20" s="365" t="n"/>
      <c r="C20" s="365" t="n"/>
      <c r="D20" s="365" t="n"/>
      <c r="E20" s="365" t="n"/>
      <c r="F20" s="365" t="n"/>
      <c r="G20" s="365" t="n"/>
      <c r="H20" s="346">
        <f>'E-ItemCarrito'!G11</f>
        <v/>
      </c>
      <c r="I20" s="346">
        <f>'E-ItemCarrito'!H11</f>
        <v/>
      </c>
      <c r="J20" s="346" t="inlineStr">
        <is>
          <t>Generar excepción o notificación (si aplica) indicando que el producto fue removido por cantidad cero.</t>
        </is>
      </c>
      <c r="K20" s="346" t="inlineStr">
        <is>
          <t>Detener operación</t>
        </is>
      </c>
    </row>
    <row r="21" ht="101.25" customHeight="1" s="354">
      <c r="A21" s="204">
        <f>'E-ItemCarrito'!B12</f>
        <v/>
      </c>
      <c r="B21" s="204">
        <f>'E-ItemCarrito'!C12</f>
        <v/>
      </c>
      <c r="C21" s="205" t="inlineStr">
        <is>
          <t>idItemCarrito</t>
        </is>
      </c>
      <c r="D21" s="205" t="inlineStr">
        <is>
          <t>alfanumerico</t>
        </is>
      </c>
      <c r="E21" s="205" t="inlineStr">
        <is>
          <t>Identificador exacto del ítem que se desea borrar del carrito.</t>
        </is>
      </c>
      <c r="F21" s="205" t="inlineStr">
        <is>
          <t>Logico</t>
        </is>
      </c>
      <c r="G21" s="205" t="inlineStr">
        <is>
          <t>Retorna verdadero si el ítem fue eliminado correctamente de la cesta.</t>
        </is>
      </c>
      <c r="H21" s="259">
        <f>'E-ItemCarrito'!G12</f>
        <v/>
      </c>
      <c r="I21" s="259">
        <f>'E-ItemCarrito'!H12</f>
        <v/>
      </c>
      <c r="J21" s="259" t="inlineStr">
        <is>
          <t>Generar excepción indicando que el ítem a eliminar ya no se encuentra en el carrito.</t>
        </is>
      </c>
      <c r="K21" s="259" t="inlineStr">
        <is>
          <t>Detener operación</t>
        </is>
      </c>
    </row>
    <row r="22" ht="159" customHeight="1" s="354">
      <c r="A22" s="201">
        <f>'E-ItemCarrito'!B13</f>
        <v/>
      </c>
      <c r="B22" s="201">
        <f>'E-ItemCarrito'!C13</f>
        <v/>
      </c>
      <c r="C22" s="196" t="inlineStr">
        <is>
          <t>idCarrito</t>
        </is>
      </c>
      <c r="D22" s="191" t="inlineStr">
        <is>
          <t>alfanumerico</t>
        </is>
      </c>
      <c r="E22" s="191" t="inlineStr">
        <is>
          <t>Identificador del carrito del cual se quieren obtener los ítems.</t>
        </is>
      </c>
      <c r="F22" s="191" t="inlineStr">
        <is>
          <t>Lista&lt;ItemCarrito&gt;</t>
        </is>
      </c>
      <c r="G22" s="192" t="inlineStr">
        <is>
          <t>Retorna una colección con los objetos de los ítems encontrados.</t>
        </is>
      </c>
      <c r="H22" s="191">
        <f>'E-ItemCarrito'!G13</f>
        <v/>
      </c>
      <c r="I22" s="191">
        <f>'E-ItemCarrito'!H13</f>
        <v/>
      </c>
      <c r="J22" s="193" t="inlineStr">
        <is>
          <t>Generar excepción indicando acceso denegado por intentar consultar un carrito ajeno.</t>
        </is>
      </c>
      <c r="K22" s="193" t="inlineStr">
        <is>
          <t>Detener operación</t>
        </is>
      </c>
    </row>
    <row r="23" ht="15.75" customHeight="1" s="354"/>
    <row r="24" ht="15.75" customHeight="1" s="354"/>
  </sheetData>
  <mergeCells count="25">
    <mergeCell ref="J14:K14"/>
    <mergeCell ref="B11:B12"/>
    <mergeCell ref="G1:J1"/>
    <mergeCell ref="E19:E20"/>
    <mergeCell ref="A1:B1"/>
    <mergeCell ref="G19:G20"/>
    <mergeCell ref="B14:B15"/>
    <mergeCell ref="E16:E18"/>
    <mergeCell ref="G16:G18"/>
    <mergeCell ref="B16:B18"/>
    <mergeCell ref="B19:B20"/>
    <mergeCell ref="A14:A15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F14:G14"/>
    <mergeCell ref="D16:D18"/>
    <mergeCell ref="H14:I14"/>
    <mergeCell ref="A11:A12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19" location="RANGE!W4" display="Eliminar de forma definitiva la información de un nuevo País"/>
    <hyperlink ref="A21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3"/>
  <sheetViews>
    <sheetView topLeftCell="C9" workbookViewId="0">
      <selection activeCell="B13" sqref="B13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ListadoObjetosDominio!B11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ListadoObjetosDominio!C11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43" t="inlineStr">
        <is>
          <t>Cliente</t>
        </is>
      </c>
      <c r="B7" s="243" t="inlineStr">
        <is>
          <t>Agregar producto al carrito</t>
        </is>
      </c>
      <c r="C7" s="243" t="inlineStr">
        <is>
          <t>Insertar un producto específico con su cantidad y precio en el carrito de compras activo.</t>
        </is>
      </c>
      <c r="D7" s="243">
        <f>ListadoObjetosDominio!B11</f>
        <v/>
      </c>
      <c r="E7" s="243" t="inlineStr">
        <is>
          <t>Idcarrito, idProducto, cantidad</t>
        </is>
      </c>
      <c r="F7" s="243" t="inlineStr">
        <is>
          <t>Detalle del producto a añadir, especificando cuántas unidades y su costo.</t>
        </is>
      </c>
      <c r="G7" s="74" t="inlineStr">
        <is>
          <t>ITC-POL-01</t>
        </is>
      </c>
      <c r="H7" s="74" t="inlineStr">
        <is>
          <t>Asegurar que los datos requeridos sean válidos a nivel de tipo, formato, longitud y obligatoriedad.</t>
        </is>
      </c>
      <c r="I7" s="243" t="inlineStr">
        <is>
          <t>Motor de Caché</t>
        </is>
      </c>
      <c r="J7" s="243" t="inlineStr">
        <is>
          <t>Producto agregado al carrito</t>
        </is>
      </c>
      <c r="K7" s="243" t="inlineStr">
        <is>
          <t>Si dos clientes agregan la última unidad de un producto a sus carritos al mismo tiempo, ¿a quién se le respeta la compra en el checkout?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ITC-POL-02</t>
        </is>
      </c>
      <c r="H8" s="74" t="inlineStr">
        <is>
          <t>El idCarrito y el idProducto deben existir previamente en el sistema.</t>
        </is>
      </c>
      <c r="I8" s="363" t="n"/>
      <c r="J8" s="363" t="n"/>
      <c r="K8" s="363" t="n"/>
    </row>
    <row r="9" ht="50.1" customHeight="1" s="354">
      <c r="A9" s="363" t="n"/>
      <c r="B9" s="363" t="n"/>
      <c r="C9" s="363" t="n"/>
      <c r="D9" s="363" t="n"/>
      <c r="E9" s="363" t="n"/>
      <c r="F9" s="363" t="n"/>
      <c r="G9" s="74" t="inlineStr">
        <is>
          <t>ITC-POL-03</t>
        </is>
      </c>
      <c r="H9" s="74" t="inlineStr">
        <is>
          <t>La cantidad ingresada debe ser estrictamente mayor a cero (0).</t>
        </is>
      </c>
      <c r="I9" s="363" t="n"/>
      <c r="J9" s="363" t="n"/>
      <c r="K9" s="363" t="n"/>
    </row>
    <row r="10" ht="50.1" customHeight="1" s="354">
      <c r="A10" s="266" t="inlineStr">
        <is>
          <t>Cliente</t>
        </is>
      </c>
      <c r="B10" s="266" t="inlineStr">
        <is>
          <t>Modificar cantidad del item</t>
        </is>
      </c>
      <c r="C10" s="266" t="inlineStr">
        <is>
          <t>Aumentar o disminuir las unidades de un producto que ya se encuentra dentro del carrito.</t>
        </is>
      </c>
      <c r="D10" s="266">
        <f>ListadoObjetosDominio!B11</f>
        <v/>
      </c>
      <c r="E10" s="266" t="inlineStr">
        <is>
          <t>idItemCarrito, Idcarrito, idProducto, cantidad</t>
        </is>
      </c>
      <c r="F10" s="266" t="inlineStr">
        <is>
          <t>Interfaz con botones de (+) y (-) para ajustar las unidades y recalcular el subtotal.</t>
        </is>
      </c>
      <c r="G10" s="74" t="inlineStr">
        <is>
          <t>ITC-POL-04</t>
        </is>
      </c>
      <c r="H10" s="74" t="inlineStr">
        <is>
          <t>El idItem a modificar debe existir previamente en el carrito del cliente.</t>
        </is>
      </c>
      <c r="I10" s="266" t="inlineStr">
        <is>
          <t>Motor de Caché</t>
        </is>
      </c>
      <c r="J10" s="266" t="inlineStr">
        <is>
          <t>Cantidad de item modificada</t>
        </is>
      </c>
      <c r="K10" s="266" t="inlineStr">
        <is>
          <t>Riesgo de inconsistencia si el cliente en múltiples pestañas del navegador modifica las cantidades al mismo tiempo.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PITC-POL-05</t>
        </is>
      </c>
      <c r="H11" s="74" t="inlineStr">
        <is>
          <t>Si el usuario reduce la cantidad a cero (0), el sistema debe disparar la eliminación automática del ítem.</t>
        </is>
      </c>
      <c r="I11" s="362" t="n"/>
      <c r="J11" s="362" t="n"/>
      <c r="K11" s="362" t="n"/>
    </row>
    <row r="12" ht="50.1" customHeight="1" s="354">
      <c r="A12" s="74" t="inlineStr">
        <is>
          <t>Cliente</t>
        </is>
      </c>
      <c r="B12" s="74" t="inlineStr">
        <is>
          <t>Eliminar producto del carrito</t>
        </is>
      </c>
      <c r="C12" s="74" t="inlineStr">
        <is>
          <t>Retirar por completo una línea de producto del carrito de compras.</t>
        </is>
      </c>
      <c r="D12" s="74">
        <f>ListadoObjetosDominio!B11</f>
        <v/>
      </c>
      <c r="E12" s="74" t="inlineStr">
        <is>
          <t>idItem</t>
        </is>
      </c>
      <c r="F12" s="74" t="inlineStr">
        <is>
          <t>Botón de "basurero" o "eliminar" junto al producto en el resumen de la compra.</t>
        </is>
      </c>
      <c r="G12" s="74" t="inlineStr">
        <is>
          <t>ITC-POL-06</t>
        </is>
      </c>
      <c r="H12" s="74" t="inlineStr">
        <is>
          <t>El idItem a eliminar debe existir previamente en el sistema.</t>
        </is>
      </c>
      <c r="I12" s="74" t="inlineStr">
        <is>
          <t>Base de datos</t>
        </is>
      </c>
      <c r="J12" s="74" t="inlineStr">
        <is>
          <t>Producto eliminado del carrito</t>
        </is>
      </c>
      <c r="K12" s="74" t="inlineStr">
        <is>
          <t>Si se elimina el último y único item que había, ¿el sistema debería eliminar automáticamente también la cabecera (CarritoCompras) o dejarla vacía?</t>
        </is>
      </c>
    </row>
    <row r="13" ht="50.1" customHeight="1" s="354">
      <c r="A13" s="74" t="inlineStr">
        <is>
          <t>Cliente</t>
        </is>
      </c>
      <c r="B13" s="74" t="inlineStr">
        <is>
          <t>Consultar items del carrito</t>
        </is>
      </c>
      <c r="C13" s="74" t="inlineStr">
        <is>
          <t>Listar todos los productos, con sus cantidades y subtotales, que están listos para ser pagados.</t>
        </is>
      </c>
      <c r="D13" s="74">
        <f>ListadoObjetosDominio!B11</f>
        <v/>
      </c>
      <c r="E13" s="74" t="inlineStr">
        <is>
          <t>idItemCarrito, Idcarrito, idProducto, cantidad</t>
        </is>
      </c>
      <c r="F13" s="74" t="inlineStr">
        <is>
          <t>Lista detallada de los productos elegidos, paso previo al proceso de pago (Checkout).</t>
        </is>
      </c>
      <c r="G13" s="74" t="inlineStr">
        <is>
          <t>ITC-POL-07</t>
        </is>
      </c>
      <c r="H13" s="74" t="inlineStr">
        <is>
          <t>El cliente solo puede consultar los items que pertenezcan a su propio carrito activo.</t>
        </is>
      </c>
      <c r="I13" s="74" t="inlineStr">
        <is>
          <t>Base de datos</t>
        </is>
      </c>
      <c r="J13" s="74" t="inlineStr">
        <is>
          <t>Items del carrito consultados</t>
        </is>
      </c>
      <c r="K13" s="74" t="inlineStr">
        <is>
          <t>Si el carrito tiene muchos ítems distintos, requerirá múltiples consultas cruzadas al catálogo para mostrar la foto y el nombre.</t>
        </is>
      </c>
    </row>
  </sheetData>
  <mergeCells count="32">
    <mergeCell ref="J7:J9"/>
    <mergeCell ref="E5:F5"/>
    <mergeCell ref="C10:C11"/>
    <mergeCell ref="E10:E11"/>
    <mergeCell ref="E4:F4"/>
    <mergeCell ref="C7:C9"/>
    <mergeCell ref="E7:E9"/>
    <mergeCell ref="K7:K9"/>
    <mergeCell ref="B7:B9"/>
    <mergeCell ref="B10:B11"/>
    <mergeCell ref="B3:K3"/>
    <mergeCell ref="I5:I6"/>
    <mergeCell ref="A5:A6"/>
    <mergeCell ref="F7:F9"/>
    <mergeCell ref="G5:H5"/>
    <mergeCell ref="B2:K2"/>
    <mergeCell ref="A10:A11"/>
    <mergeCell ref="B5:B6"/>
    <mergeCell ref="I10:I11"/>
    <mergeCell ref="K10:K11"/>
    <mergeCell ref="D5:D6"/>
    <mergeCell ref="G4:H4"/>
    <mergeCell ref="K5:K6"/>
    <mergeCell ref="A7:A9"/>
    <mergeCell ref="D10:D11"/>
    <mergeCell ref="J5:J6"/>
    <mergeCell ref="I7:I9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9"/>
  <sheetViews>
    <sheetView topLeftCell="B1" zoomScale="93" zoomScaleNormal="93" workbookViewId="0">
      <selection activeCell="B23" sqref="B23"/>
    </sheetView>
  </sheetViews>
  <sheetFormatPr baseColWidth="8" defaultColWidth="11" defaultRowHeight="15.95"/>
  <cols>
    <col width="41.625" customWidth="1" style="354" min="1" max="2"/>
    <col width="41.5" bestFit="1" customWidth="1" style="354" min="3" max="3"/>
    <col width="41.5" customWidth="1" style="354" min="4" max="6"/>
    <col width="25.5" customWidth="1" style="354" min="7" max="7"/>
  </cols>
  <sheetData>
    <row r="1">
      <c r="A1" s="343" t="inlineStr">
        <is>
          <t>&lt;&lt; Ir al modelo de dominio</t>
        </is>
      </c>
      <c r="D1" s="343" t="n"/>
      <c r="E1" s="343" t="n"/>
      <c r="F1" s="343" t="n"/>
      <c r="G1" s="335" t="inlineStr">
        <is>
          <t>&lt;&lt; Ir al listado de objetos de dominio</t>
        </is>
      </c>
      <c r="I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ListadoObjetosDominio!B12</f>
        <v/>
      </c>
      <c r="D2" s="332" t="n"/>
      <c r="E2" s="332" t="n"/>
      <c r="F2" s="332" t="n"/>
      <c r="G2" s="58" t="n"/>
    </row>
    <row r="3">
      <c r="A3" s="21" t="inlineStr">
        <is>
          <t>Descripción</t>
        </is>
      </c>
      <c r="B3" s="228">
        <f>ListadoObjetosDominio!C10</f>
        <v/>
      </c>
    </row>
    <row r="4" ht="51" customHeight="1" s="354">
      <c r="A4" s="29" t="inlineStr">
        <is>
          <t>Identificador único universal (UUID) del pedido.</t>
        </is>
      </c>
      <c r="B4" s="29" t="inlineStr">
        <is>
          <t>Referencia al cliente que realizó el pedido.</t>
        </is>
      </c>
      <c r="C4" s="29" t="inlineStr">
        <is>
          <t>Fecha en que se generó el pedido (LocalDate).</t>
        </is>
      </c>
      <c r="D4" s="29" t="inlineStr">
        <is>
          <t>Valor total del pedido en pesos colombianos (COP).</t>
        </is>
      </c>
      <c r="E4" s="29" t="inlineStr">
        <is>
          <t>Estado del pedido (PENDIENTE, CONFIRMADO, PREPARANDO, ENVIADO, ENTREGADO, CANCELADO).</t>
        </is>
      </c>
      <c r="F4" s="29" t="n"/>
      <c r="G4" s="29" t="n"/>
    </row>
    <row r="5">
      <c r="A5" s="22" t="inlineStr">
        <is>
          <t>id</t>
        </is>
      </c>
      <c r="B5" s="22" t="inlineStr">
        <is>
          <t>cliente</t>
        </is>
      </c>
      <c r="C5" s="22" t="inlineStr">
        <is>
          <t>fechaPedido</t>
        </is>
      </c>
      <c r="D5" s="22" t="inlineStr">
        <is>
          <t>total</t>
        </is>
      </c>
      <c r="E5" s="22" t="inlineStr">
        <is>
          <t>estado</t>
        </is>
      </c>
      <c r="F5" s="22" t="n"/>
      <c r="G5" s="24" t="n"/>
    </row>
    <row r="6">
      <c r="A6" s="28" t="inlineStr">
        <is>
          <t>PED12345-A1B2-4C3D-8E4F-000000000001</t>
        </is>
      </c>
      <c r="B6" s="135" t="inlineStr">
        <is>
          <t>3F2504E0-4F89-11D3-9A0C-0305E82C3301</t>
        </is>
      </c>
      <c r="C6" s="140" t="inlineStr">
        <is>
          <t>2026-05-15</t>
        </is>
      </c>
      <c r="D6" s="140" t="n">
        <v>89900</v>
      </c>
      <c r="E6" s="140" t="inlineStr">
        <is>
          <t>PENDIENTE</t>
        </is>
      </c>
      <c r="F6" s="141" t="n"/>
      <c r="G6" s="20" t="n"/>
    </row>
    <row r="7">
      <c r="A7" s="28" t="inlineStr">
        <is>
          <t>PED12345-A1B2-4C3D-8E4F-000000000002</t>
        </is>
      </c>
      <c r="B7" s="135" t="inlineStr">
        <is>
          <t>3F2504E0-4F89-11D3-9A0C-0305E82C3302</t>
        </is>
      </c>
      <c r="C7" s="140" t="inlineStr">
        <is>
          <t>2026-05-16</t>
        </is>
      </c>
      <c r="D7" s="140" t="n">
        <v>290000</v>
      </c>
      <c r="E7" s="142" t="inlineStr">
        <is>
          <t>CONFIRMADO</t>
        </is>
      </c>
      <c r="F7" s="141" t="n"/>
      <c r="G7" s="20" t="n"/>
    </row>
    <row r="8">
      <c r="A8" s="28" t="inlineStr">
        <is>
          <t>PED12345-A1B2-4C3D-8E4F-000000000003</t>
        </is>
      </c>
      <c r="B8" s="135" t="inlineStr">
        <is>
          <t>3F2504E0-4F89-11D3-9A0C-0305E82C3303</t>
        </is>
      </c>
      <c r="C8" s="140" t="inlineStr">
        <is>
          <t>2026-05-17</t>
        </is>
      </c>
      <c r="D8" s="140" t="n">
        <v>106500</v>
      </c>
      <c r="E8" s="144" t="inlineStr">
        <is>
          <t>PREPARANDO</t>
        </is>
      </c>
      <c r="F8" s="141" t="n"/>
      <c r="G8" s="20" t="n"/>
    </row>
    <row r="9">
      <c r="A9" s="28" t="inlineStr">
        <is>
          <t>PED12345-A1B2-4C3D-8E4F-000000000004</t>
        </is>
      </c>
      <c r="B9" s="135" t="inlineStr">
        <is>
          <t>3F2504E0-4F89-11D3-9A0C-0305E82C3304</t>
        </is>
      </c>
      <c r="C9" s="140" t="inlineStr">
        <is>
          <t>2026-05-18</t>
        </is>
      </c>
      <c r="D9" s="140" t="n">
        <v>189900</v>
      </c>
      <c r="E9" s="144" t="inlineStr">
        <is>
          <t>ENVIADO</t>
        </is>
      </c>
      <c r="F9" s="141" t="n"/>
      <c r="G9" s="20" t="n"/>
      <c r="K9" s="335" t="n"/>
    </row>
    <row r="10">
      <c r="A10" s="28" t="inlineStr">
        <is>
          <t>PED12345-A1B2-4C3D-8E4F-000000000005</t>
        </is>
      </c>
      <c r="B10" s="135" t="inlineStr">
        <is>
          <t>3F2504E0-4F89-11D3-9A0C-0305E82C3305</t>
        </is>
      </c>
      <c r="C10" s="140" t="inlineStr">
        <is>
          <t>2026-05-19</t>
        </is>
      </c>
      <c r="D10" s="140" t="n">
        <v>179800</v>
      </c>
      <c r="E10" s="144" t="inlineStr">
        <is>
          <t>ENTREGADO</t>
        </is>
      </c>
      <c r="F10" s="141" t="n"/>
      <c r="G10" s="20" t="n"/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3:G3"/>
    <mergeCell ref="B2:C2"/>
    <mergeCell ref="A17:G17"/>
    <mergeCell ref="A18:G18"/>
    <mergeCell ref="A1:C1"/>
    <mergeCell ref="I1:L1"/>
    <mergeCell ref="G1:H1"/>
    <mergeCell ref="A16:G16"/>
    <mergeCell ref="A15:G15"/>
    <mergeCell ref="A19:G19"/>
  </mergeCells>
  <hyperlinks>
    <hyperlink ref="A1" location="'Modelo de dominio'!A1" display="&lt;&lt; Ir al modelo de dominio"/>
    <hyperlink ref="G1" location="ListadoObjetosDominio!A1" display="&lt;&lt; Ir al listado de objetos de dominio"/>
    <hyperlink ref="I1" location="'C-Departamento'!A1" display="&lt;&lt; Ir a la caracterización del objeto de dominio"/>
    <hyperlink ref="B6" location="'M-Cliente'!A7" display="'M-Cliente'!A7"/>
    <hyperlink ref="B7" location="'M-Cliente'!A8" display="'M-Cliente'!A8"/>
    <hyperlink ref="B8" location="'M-Cliente'!A9" display="'M-Cliente'!A9"/>
    <hyperlink ref="B9" location="'M-Cliente'!A10" display="'M-Cliente'!A10"/>
    <hyperlink ref="B10" location="'M-Cliente'!A7" display="'M-Cliente'!A7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5"/>
  <sheetViews>
    <sheetView topLeftCell="A10" zoomScale="75" workbookViewId="0">
      <selection activeCell="K25" sqref="A16:K25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8"/>
    <col width="21.25" customWidth="1" style="354" min="9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'M-Pedido'!B2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'M-Pedido'!B3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98.09999999999999" customHeight="1" s="354">
      <c r="A5" s="45">
        <f>'M-Pedido'!A5</f>
        <v/>
      </c>
      <c r="B5" s="52">
        <f>'M-Pedido'!A4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30</v>
      </c>
      <c r="H5" s="45" t="n"/>
      <c r="I5" s="45" t="n"/>
      <c r="J5" s="45" t="n"/>
      <c r="K5" s="45" t="n"/>
      <c r="L5" s="45" t="inlineStr">
        <is>
          <t>Mayusculas</t>
        </is>
      </c>
      <c r="M5" s="45" t="inlineStr">
        <is>
          <t>El formato suele incluir año y prefijo (Ej: PED-2026-001)</t>
        </is>
      </c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'M-Pedido'!B5</f>
        <v/>
      </c>
      <c r="B6" s="45">
        <f>'M-Pedido'!B4</f>
        <v/>
      </c>
      <c r="C6" s="45" t="inlineStr">
        <is>
          <t>No</t>
        </is>
      </c>
      <c r="D6" s="45" t="inlineStr">
        <is>
          <t>&lt;Cliente&gt;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cliente debe existir y estar activo en el sistema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40.1" customHeight="1" s="354">
      <c r="A7" s="45">
        <f>'M-Pedido'!C5</f>
        <v/>
      </c>
      <c r="B7" s="45">
        <f>'M-Pedido'!C4</f>
        <v/>
      </c>
      <c r="C7" s="45" t="inlineStr">
        <is>
          <t>No</t>
        </is>
      </c>
      <c r="D7" s="45" t="inlineStr">
        <is>
          <t>&lt;Direccion&gt;</t>
        </is>
      </c>
      <c r="E7" s="45" t="inlineStr">
        <is>
          <t>Si</t>
        </is>
      </c>
      <c r="F7" s="45" t="n"/>
      <c r="G7" s="45" t="n"/>
      <c r="H7" s="45" t="n"/>
      <c r="I7" s="45" t="n"/>
      <c r="J7" s="45" t="n"/>
      <c r="K7" s="45" t="n"/>
      <c r="L7" s="45" t="n"/>
      <c r="M7" s="45" t="inlineStr">
        <is>
          <t>La dirección de entrega debe pertenecer al cliente que realiza el pedido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111.95" customHeight="1" s="354">
      <c r="A8" s="45">
        <f>'M-Pedido'!D5</f>
        <v/>
      </c>
      <c r="B8" s="45">
        <f>'M-Pedido'!D4</f>
        <v/>
      </c>
      <c r="C8" s="45" t="inlineStr">
        <is>
          <t>No</t>
        </is>
      </c>
      <c r="D8" s="45" t="inlineStr">
        <is>
          <t>Fecha/Hora</t>
        </is>
      </c>
      <c r="E8" s="45" t="inlineStr">
        <is>
          <t>Si</t>
        </is>
      </c>
      <c r="F8" s="45" t="n"/>
      <c r="G8" s="45" t="n"/>
      <c r="H8" s="45" t="n"/>
      <c r="I8" s="45" t="n"/>
      <c r="J8" s="45" t="n"/>
      <c r="K8" s="45" t="n"/>
      <c r="L8" s="45" t="n"/>
      <c r="M8" s="45" t="inlineStr">
        <is>
          <t>Se captura el momento exacto en el que el cliente confirma la compra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/>
      <c r="U8" s="45" t="inlineStr">
        <is>
          <t>Si</t>
        </is>
      </c>
      <c r="V8" s="88" t="n"/>
      <c r="W8" s="98" t="n"/>
      <c r="X8" s="89" t="n"/>
      <c r="Y8" s="90" t="n"/>
    </row>
    <row r="9" ht="153.95" customHeight="1" s="354">
      <c r="A9" s="45">
        <f>'M-Pedido'!E5</f>
        <v/>
      </c>
      <c r="B9" s="45">
        <f>'M-Pedido'!E4</f>
        <v/>
      </c>
      <c r="C9" s="45" t="inlineStr">
        <is>
          <t>No</t>
        </is>
      </c>
      <c r="D9" s="45" t="inlineStr">
        <is>
          <t xml:space="preserve">Texto </t>
        </is>
      </c>
      <c r="E9" s="45" t="inlineStr">
        <is>
          <t>Si</t>
        </is>
      </c>
      <c r="F9" s="45" t="n">
        <v>6</v>
      </c>
      <c r="G9" s="45" t="n">
        <v>30</v>
      </c>
      <c r="H9" s="45" t="n"/>
      <c r="I9" s="45" t="n"/>
      <c r="J9" s="45" t="n"/>
      <c r="K9" s="45" t="n"/>
      <c r="L9" s="45" t="inlineStr">
        <is>
          <t>Capitalizado</t>
        </is>
      </c>
      <c r="M9" s="45" t="inlineStr">
        <is>
          <t>Solo permite valores del flujo (PendientePago, Pagado, Despachado, Entregado)</t>
        </is>
      </c>
      <c r="N9" s="45" t="inlineStr">
        <is>
          <t>No</t>
        </is>
      </c>
      <c r="O9" s="45" t="inlineStr">
        <is>
          <t>No</t>
        </is>
      </c>
      <c r="P9" s="45" t="n"/>
      <c r="Q9" s="45" t="inlineStr">
        <is>
          <t>Si</t>
        </is>
      </c>
      <c r="R9" s="45" t="inlineStr">
        <is>
          <t>Si</t>
        </is>
      </c>
      <c r="S9" s="45" t="inlineStr">
        <is>
          <t>No</t>
        </is>
      </c>
      <c r="T9" s="45" t="inlineStr">
        <is>
          <t>PendientePago</t>
        </is>
      </c>
      <c r="U9" s="45" t="inlineStr">
        <is>
          <t>No</t>
        </is>
      </c>
      <c r="V9" s="88" t="n"/>
      <c r="W9" s="98" t="n"/>
      <c r="X9" s="89" t="n"/>
      <c r="Y9" s="90" t="n"/>
    </row>
    <row r="10" ht="140.1" customHeight="1" s="354">
      <c r="A10" s="45">
        <f>'M-Pedido'!F5</f>
        <v/>
      </c>
      <c r="B10" s="45">
        <f>'M-Pedido'!F4</f>
        <v/>
      </c>
      <c r="C10" s="45" t="inlineStr">
        <is>
          <t>No</t>
        </is>
      </c>
      <c r="D10" s="45" t="inlineStr">
        <is>
          <t>Numerico decimal</t>
        </is>
      </c>
      <c r="E10" s="45" t="inlineStr">
        <is>
          <t>Si</t>
        </is>
      </c>
      <c r="F10" s="45" t="n"/>
      <c r="G10" s="45" t="n"/>
      <c r="H10" s="45" t="n">
        <v>2</v>
      </c>
      <c r="I10" s="45" t="inlineStr">
        <is>
          <t>Truncamiento</t>
        </is>
      </c>
      <c r="J10" s="45" t="n">
        <v>1</v>
      </c>
      <c r="K10" s="45" t="n">
        <v>999999</v>
      </c>
      <c r="L10" s="45" t="n"/>
      <c r="M10" s="45" t="inlineStr">
        <is>
          <t>Debe ser la sumatoria exacta de los precios congelados en las líneas del pedido</t>
        </is>
      </c>
      <c r="N10" s="45" t="inlineStr">
        <is>
          <t>Si</t>
        </is>
      </c>
      <c r="O10" s="45" t="n"/>
      <c r="P10" s="45" t="n"/>
      <c r="Q10" s="45" t="n"/>
      <c r="R10" s="45" t="n"/>
      <c r="S10" s="45" t="inlineStr">
        <is>
          <t>No</t>
        </is>
      </c>
      <c r="T10" s="45" t="n"/>
      <c r="U10" s="45" t="inlineStr">
        <is>
          <t>Si</t>
        </is>
      </c>
      <c r="V10" s="88" t="n"/>
      <c r="W10" s="98" t="n"/>
      <c r="X10" s="89" t="n"/>
      <c r="Y10" s="90" t="n"/>
    </row>
    <row r="12" ht="42" customHeight="1" s="354">
      <c r="A12" s="50" t="inlineStr">
        <is>
          <t>Nombre
combinación unica</t>
        </is>
      </c>
      <c r="B12" s="50" t="inlineStr">
        <is>
          <t>Descripción</t>
        </is>
      </c>
      <c r="C12" s="50" t="inlineStr">
        <is>
          <t>Atributos
involucrados</t>
        </is>
      </c>
    </row>
    <row r="13" ht="33.95" customHeight="1" s="354">
      <c r="A13" s="331">
        <f>'M-Pedido'!G5</f>
        <v/>
      </c>
      <c r="B13" s="376">
        <f>'M-Pedido'!G4</f>
        <v/>
      </c>
      <c r="C13" s="49">
        <f>'M-Pedido'!A5</f>
        <v/>
      </c>
    </row>
    <row r="14" ht="17.1" customHeight="1" s="354">
      <c r="A14" s="362" t="n"/>
      <c r="B14" s="377" t="n"/>
      <c r="C14" s="49" t="n"/>
    </row>
    <row r="15" ht="15.75" customHeight="1" s="354"/>
    <row r="16" ht="15.75" customHeight="1" s="354">
      <c r="A16" s="255" t="inlineStr">
        <is>
          <t>Responsabilidad</t>
        </is>
      </c>
      <c r="B16" s="255" t="inlineStr">
        <is>
          <t>Descripción</t>
        </is>
      </c>
      <c r="C16" s="255" t="inlineStr">
        <is>
          <t>Entradas</t>
        </is>
      </c>
      <c r="D16" s="364" t="n"/>
      <c r="E16" s="360" t="n"/>
      <c r="F16" s="255" t="inlineStr">
        <is>
          <t>Salida</t>
        </is>
      </c>
      <c r="G16" s="360" t="n"/>
      <c r="H16" s="255" t="inlineStr">
        <is>
          <t>Políticas (Reglas de Negocio)</t>
        </is>
      </c>
      <c r="I16" s="360" t="n"/>
      <c r="J16" s="255" t="inlineStr">
        <is>
          <t xml:space="preserve">Excepción </t>
        </is>
      </c>
      <c r="K16" s="360" t="n"/>
    </row>
    <row r="17" ht="29.25" customHeight="1" s="354">
      <c r="A17" s="365" t="n"/>
      <c r="B17" s="365" t="n"/>
      <c r="C17" s="255" t="inlineStr">
        <is>
          <t>Parámettro</t>
        </is>
      </c>
      <c r="D17" s="255" t="inlineStr">
        <is>
          <t xml:space="preserve">Tipo de dato </t>
        </is>
      </c>
      <c r="E17" s="255" t="inlineStr">
        <is>
          <t>Descripci</t>
        </is>
      </c>
      <c r="F17" s="255" t="inlineStr">
        <is>
          <t>Tipo de Dato</t>
        </is>
      </c>
      <c r="G17" s="255" t="inlineStr">
        <is>
          <t>Descripción</t>
        </is>
      </c>
      <c r="H17" s="255" t="inlineStr">
        <is>
          <t>Política</t>
        </is>
      </c>
      <c r="I17" s="255" t="inlineStr">
        <is>
          <t>Descripción</t>
        </is>
      </c>
      <c r="J17" s="255" t="inlineStr">
        <is>
          <t>Detalle</t>
        </is>
      </c>
      <c r="K17" s="255" t="inlineStr">
        <is>
          <t>¿Qué hago?</t>
        </is>
      </c>
    </row>
    <row r="18" ht="57.75" customHeight="1" s="354">
      <c r="A18" s="261">
        <f>'E-Pedido'!B7</f>
        <v/>
      </c>
      <c r="B18" s="261">
        <f>'E-Pedido'!C7</f>
        <v/>
      </c>
      <c r="C18" s="256" t="inlineStr">
        <is>
          <t>pedidoNuevo</t>
        </is>
      </c>
      <c r="D18" s="256" t="inlineStr">
        <is>
          <t>Pedido</t>
        </is>
      </c>
      <c r="E18" s="257" t="inlineStr">
        <is>
          <t>Contiene la información base del nuevo pedido a registrar.</t>
        </is>
      </c>
      <c r="F18" s="256" t="inlineStr">
        <is>
          <t>Logico</t>
        </is>
      </c>
      <c r="G18" s="256" t="inlineStr">
        <is>
          <t>Retorna verdadero si el pedido se creó exitosamente.</t>
        </is>
      </c>
      <c r="H18" s="197">
        <f>'E-Pedido'!G7</f>
        <v/>
      </c>
      <c r="I18" s="198">
        <f>'E-Pedido'!H7</f>
        <v/>
      </c>
      <c r="J18" s="197" t="inlineStr">
        <is>
          <t>Generar excepción indicando qué campo no cumple con el formato o es obligatorio.</t>
        </is>
      </c>
      <c r="K18" s="197" t="inlineStr">
        <is>
          <t>Detener operación</t>
        </is>
      </c>
    </row>
    <row r="19" ht="43.5" customHeight="1" s="354">
      <c r="A19" s="366" t="n"/>
      <c r="B19" s="366" t="n"/>
      <c r="C19" s="366" t="n"/>
      <c r="D19" s="366" t="n"/>
      <c r="E19" s="366" t="n"/>
      <c r="F19" s="366" t="n"/>
      <c r="G19" s="366" t="n"/>
      <c r="H19" s="197">
        <f>'E-Pedido'!G8</f>
        <v/>
      </c>
      <c r="I19" s="198">
        <f>'E-Pedido'!H8</f>
        <v/>
      </c>
      <c r="J19" s="197" t="inlineStr">
        <is>
          <t>Generar excepción indicando que el carrito no es válido o está vacío.</t>
        </is>
      </c>
      <c r="K19" s="197" t="inlineStr">
        <is>
          <t>Detener operación</t>
        </is>
      </c>
    </row>
    <row r="20" ht="72.75" customHeight="1" s="354">
      <c r="A20" s="365" t="n"/>
      <c r="B20" s="365" t="n"/>
      <c r="C20" s="365" t="n"/>
      <c r="D20" s="365" t="n"/>
      <c r="E20" s="365" t="n"/>
      <c r="F20" s="365" t="n"/>
      <c r="G20" s="365" t="n"/>
      <c r="H20" s="197">
        <f>'E-Pedido'!G9</f>
        <v/>
      </c>
      <c r="I20" s="198">
        <f>'E-Pedido'!H9</f>
        <v/>
      </c>
      <c r="J20" s="197" t="inlineStr">
        <is>
          <t>Generar excepción indicando inconsistencia en el valor total calculado a cobrar.</t>
        </is>
      </c>
      <c r="K20" s="197" t="inlineStr">
        <is>
          <t>Detener operación</t>
        </is>
      </c>
    </row>
    <row r="21" ht="77.25" customHeight="1" s="354">
      <c r="A21" s="346">
        <f>'E-Pedido'!B10</f>
        <v/>
      </c>
      <c r="B21" s="346">
        <f>'E-Pedido'!C10</f>
        <v/>
      </c>
      <c r="C21" s="346" t="inlineStr">
        <is>
          <t>pedidoModificado</t>
        </is>
      </c>
      <c r="D21" s="346" t="inlineStr">
        <is>
          <t>Pedido</t>
        </is>
      </c>
      <c r="E21" s="346" t="inlineStr">
        <is>
          <t>Contiene la información del pedido con el nuevo estado actualizado.</t>
        </is>
      </c>
      <c r="F21" s="346" t="inlineStr">
        <is>
          <t>Logico</t>
        </is>
      </c>
      <c r="G21" s="346" t="inlineStr">
        <is>
          <t>Retorna verdadero si el estado del pedido se actualizó correctamente.</t>
        </is>
      </c>
      <c r="H21" s="346">
        <f>'E-Pedido'!G10</f>
        <v/>
      </c>
      <c r="I21" s="346">
        <f>'E-Pedido'!H10</f>
        <v/>
      </c>
      <c r="J21" s="346" t="inlineStr">
        <is>
          <t>Generar excepción indicando que el pedido a actualizar no existe en la base de datos.</t>
        </is>
      </c>
      <c r="K21" s="346" t="inlineStr">
        <is>
          <t>Detener operación</t>
        </is>
      </c>
    </row>
    <row r="22" ht="92.25" customHeight="1" s="354">
      <c r="A22" s="365" t="n"/>
      <c r="B22" s="365" t="n"/>
      <c r="C22" s="365" t="n"/>
      <c r="D22" s="365" t="n"/>
      <c r="E22" s="365" t="n"/>
      <c r="F22" s="365" t="n"/>
      <c r="G22" s="365" t="n"/>
      <c r="H22" s="346">
        <f>'E-Pedido'!G11</f>
        <v/>
      </c>
      <c r="I22" s="346">
        <f>'E-Pedido'!H11</f>
        <v/>
      </c>
      <c r="J22" s="346" t="inlineStr">
        <is>
          <t>Generar excepción indicando que el cambio de estado logístico es inválido y va en reversa.</t>
        </is>
      </c>
      <c r="K22" s="346" t="inlineStr">
        <is>
          <t>Detener operación</t>
        </is>
      </c>
    </row>
    <row r="23" ht="57.75" customHeight="1" s="354">
      <c r="A23" s="260">
        <f>'E-Pedido'!B12</f>
        <v/>
      </c>
      <c r="B23" s="260">
        <f>'E-Pedido'!C12</f>
        <v/>
      </c>
      <c r="C23" s="259" t="inlineStr">
        <is>
          <t>idPedido</t>
        </is>
      </c>
      <c r="D23" s="259" t="inlineStr">
        <is>
          <t>alfanumerico</t>
        </is>
      </c>
      <c r="E23" s="259" t="inlineStr">
        <is>
          <t>Identificador exacto del pedido que el cliente o administrador desea cancelar.</t>
        </is>
      </c>
      <c r="F23" s="259" t="inlineStr">
        <is>
          <t>Logico</t>
        </is>
      </c>
      <c r="G23" s="259" t="inlineStr">
        <is>
          <t>Retorna verdadero si el pedido fue cancelado exitosamente.</t>
        </is>
      </c>
      <c r="H23" s="259">
        <f>'E-Pedido'!G12</f>
        <v/>
      </c>
      <c r="I23" s="259">
        <f>'E-Pedido'!H12</f>
        <v/>
      </c>
      <c r="J23" s="259" t="inlineStr">
        <is>
          <t>Generar excepción indicando que el pedido a cancelar no se encuentra registrado.</t>
        </is>
      </c>
      <c r="K23" s="259" t="inlineStr">
        <is>
          <t>Detener operación</t>
        </is>
      </c>
    </row>
    <row r="24" ht="87" customHeight="1" s="354">
      <c r="A24" s="365" t="n"/>
      <c r="B24" s="365" t="n"/>
      <c r="C24" s="365" t="n"/>
      <c r="D24" s="365" t="n"/>
      <c r="E24" s="365" t="n"/>
      <c r="F24" s="365" t="n"/>
      <c r="G24" s="365" t="n"/>
      <c r="H24" s="259">
        <f>'E-Pedido'!G13</f>
        <v/>
      </c>
      <c r="I24" s="259">
        <f>'E-Pedido'!H13</f>
        <v/>
      </c>
      <c r="J24" s="259" t="inlineStr">
        <is>
          <t>Generar excepción indicando que no se puede cancelar un pedido que ya fue despachado físicamente.</t>
        </is>
      </c>
      <c r="K24" s="259" t="inlineStr">
        <is>
          <t>Detener operación</t>
        </is>
      </c>
    </row>
    <row r="25" ht="72.75" customHeight="1" s="354">
      <c r="A25" s="201">
        <f>'E-Pedido'!B14</f>
        <v/>
      </c>
      <c r="B25" s="201">
        <f>'E-Pedido'!C14</f>
        <v/>
      </c>
      <c r="C25" s="196" t="inlineStr">
        <is>
          <t>filtros</t>
        </is>
      </c>
      <c r="D25" s="191" t="inlineStr">
        <is>
          <t>Texto</t>
        </is>
      </c>
      <c r="E25" s="191" t="inlineStr">
        <is>
          <t>Parámetros opcionales para filtrar o buscar el historial de pedidos.</t>
        </is>
      </c>
      <c r="F25" s="191" t="inlineStr">
        <is>
          <t>Lista&lt;Pedido&gt;</t>
        </is>
      </c>
      <c r="G25" s="192" t="inlineStr">
        <is>
          <t>Retorna una colección con los objetos de los pedidos encontrados.</t>
        </is>
      </c>
      <c r="H25" s="191">
        <f>'E-Pedido'!G14</f>
        <v/>
      </c>
      <c r="I25" s="191">
        <f>'E-Pedido'!H14</f>
        <v/>
      </c>
      <c r="J25" s="193" t="inlineStr">
        <is>
          <t>Generar excepción indicando acceso denegado por intentar visualizar pedidos de otro usuario.</t>
        </is>
      </c>
      <c r="K25" s="193" t="inlineStr">
        <is>
          <t>Detener operación</t>
        </is>
      </c>
    </row>
  </sheetData>
  <mergeCells count="32">
    <mergeCell ref="C16:E16"/>
    <mergeCell ref="G23:G24"/>
    <mergeCell ref="F16:G16"/>
    <mergeCell ref="D21:D22"/>
    <mergeCell ref="E23:E24"/>
    <mergeCell ref="A16:A17"/>
    <mergeCell ref="A1:B1"/>
    <mergeCell ref="G1:J1"/>
    <mergeCell ref="D18:D20"/>
    <mergeCell ref="B23:B24"/>
    <mergeCell ref="F21:F22"/>
    <mergeCell ref="B13:B14"/>
    <mergeCell ref="C21:C22"/>
    <mergeCell ref="F23:F24"/>
    <mergeCell ref="C18:C20"/>
    <mergeCell ref="A21:A22"/>
    <mergeCell ref="E18:E20"/>
    <mergeCell ref="C23:C24"/>
    <mergeCell ref="H16:I16"/>
    <mergeCell ref="A13:A14"/>
    <mergeCell ref="J16:K16"/>
    <mergeCell ref="A23:A24"/>
    <mergeCell ref="D1:F1"/>
    <mergeCell ref="B18:B20"/>
    <mergeCell ref="F18:F20"/>
    <mergeCell ref="E21:E22"/>
    <mergeCell ref="D23:D24"/>
    <mergeCell ref="G21:G22"/>
    <mergeCell ref="B16:B17"/>
    <mergeCell ref="B21:B22"/>
    <mergeCell ref="A18:A20"/>
    <mergeCell ref="G18:G20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21" location="RANGE!W4" display="Eliminar de forma definitiva la información de un nuevo País"/>
    <hyperlink ref="A23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B7" workbookViewId="0">
      <selection activeCell="C12" sqref="C12:C13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ListadoObjetosDominio!B12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ListadoObjetosDominio!C12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Cliente</t>
        </is>
      </c>
      <c r="B7" s="266" t="inlineStr">
        <is>
          <t>Crear pedido (Checkout)</t>
        </is>
      </c>
      <c r="C7" s="266" t="inlineStr">
        <is>
          <t>El usuario finaliza su compra, procesa el pago y genera la orden de despacho</t>
        </is>
      </c>
      <c r="D7" s="266">
        <f>ListadoObjetosDominio!B12</f>
        <v/>
      </c>
      <c r="E7" s="266" t="inlineStr">
        <is>
          <t>idCarrito, idcliente, idDireccion, fechaCreacion, totalCompra</t>
        </is>
      </c>
      <c r="F7" s="266" t="inlineStr">
        <is>
          <t>Pantalla final de pago (Checkout) con el resumen monetario y destino de entrega.</t>
        </is>
      </c>
      <c r="G7" s="74" t="inlineStr">
        <is>
          <t>PED-POL-01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>Pasarela de pagos</t>
        </is>
      </c>
      <c r="J7" s="266" t="inlineStr">
        <is>
          <t>Pedido generado</t>
        </is>
      </c>
      <c r="K7" s="266" t="inlineStr">
        <is>
          <t>Riesgo de "Timeout" (tiempo de espera agotado) si la pasarela de pagos externa tarda mucho en responder y el usuario recarga la página.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PED-POL-02</t>
        </is>
      </c>
      <c r="H8" s="74" t="inlineStr">
        <is>
          <t>El idCarrito asociado debe estar activo y contener al menos un ítem.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PED-POL-03</t>
        </is>
      </c>
      <c r="H9" s="74" t="inlineStr">
        <is>
          <t>El total compra debe ser mayor a cero y coincidir exactamente con la suma de los ítems del carrito.</t>
        </is>
      </c>
      <c r="I9" s="362" t="n"/>
      <c r="J9" s="362" t="n"/>
      <c r="K9" s="362" t="n"/>
    </row>
    <row r="10" ht="50.1" customHeight="1" s="354">
      <c r="A10" s="266" t="inlineStr">
        <is>
          <t>Administrador / Sistema</t>
        </is>
      </c>
      <c r="B10" s="266" t="inlineStr">
        <is>
          <t>Actualizar estado del pedido</t>
        </is>
      </c>
      <c r="C10" s="266" t="inlineStr">
        <is>
          <t>Cambiar la fase en la que se encuentra la orden (ej. de "Pagado" a "Enviado" o "Entregado") para el seguimiento logístico.</t>
        </is>
      </c>
      <c r="D10" s="266">
        <f>ListadoObjetosDominio!B12</f>
        <v/>
      </c>
      <c r="E10" s="266" t="inlineStr">
        <is>
          <t>idPedido, estadoLogsitico</t>
        </is>
      </c>
      <c r="F10" s="266" t="inlineStr">
        <is>
          <t>Panel de control de despachos o actualización automática vía Webhook de la transportadora.</t>
        </is>
      </c>
      <c r="G10" s="74" t="inlineStr">
        <is>
          <t>PED-POL-04</t>
        </is>
      </c>
      <c r="H10" s="74" t="inlineStr">
        <is>
          <t>El idPedido a modificar debe existir previamente en el sistema.</t>
        </is>
      </c>
      <c r="I10" s="266" t="inlineStr">
        <is>
          <t>API Transportadora (Servientrega / Coordinadora)</t>
        </is>
      </c>
      <c r="J10" s="266" t="inlineStr">
        <is>
          <t>Estado logístico de pedido actualizado</t>
        </is>
      </c>
      <c r="K10" s="266" t="inlineStr">
        <is>
          <t>Si se marca como "Entregado" por error, el cliente no podrá abrir reclamos fácilmente si su paquete nunca llegó.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PED-POL-05</t>
        </is>
      </c>
      <c r="H11" s="74" t="inlineStr">
        <is>
          <t>El estado solo puede avanzar siguiendo un flujo lógico unidireccional (ej. no puede pasar de "Entregado" de vuelta a "Pendiente").</t>
        </is>
      </c>
      <c r="I11" s="362" t="n"/>
      <c r="J11" s="362" t="n"/>
      <c r="K11" s="362" t="n"/>
    </row>
    <row r="12" ht="50.1" customHeight="1" s="354">
      <c r="A12" s="266" t="inlineStr">
        <is>
          <t>Cliente / Administrador</t>
        </is>
      </c>
      <c r="B12" s="266" t="inlineStr">
        <is>
          <t>Cancelar pedido</t>
        </is>
      </c>
      <c r="C12" s="266" t="inlineStr">
        <is>
          <t>Anular la compra antes de que el paquete sea entregado a la transportadora, procesando un reembolso.</t>
        </is>
      </c>
      <c r="D12" s="266">
        <f>ListadoObjetosDominio!B12</f>
        <v/>
      </c>
      <c r="E12" s="266" t="inlineStr">
        <is>
          <t>idPedido, estadoLogsitico</t>
        </is>
      </c>
      <c r="F12" s="266" t="inlineStr">
        <is>
          <t>Botón de "Cancelar compra" en el historial de pedidos o en el panel de soporte.</t>
        </is>
      </c>
      <c r="G12" s="74" t="inlineStr">
        <is>
          <t>PED-POL-06</t>
        </is>
      </c>
      <c r="H12" s="74" t="inlineStr">
        <is>
          <t>El idPedido a cancelar debe existir previamente en el sistema.</t>
        </is>
      </c>
      <c r="I12" s="266" t="inlineStr">
        <is>
          <t>Pasarela de Pagos (API de Reembolsos)</t>
        </is>
      </c>
      <c r="J12" s="266" t="inlineStr">
        <is>
          <t>Pedido cancelado</t>
        </is>
      </c>
      <c r="K12" s="266" t="inlineStr">
        <is>
          <t>Si el pedido ya fue entregado a la transportadora externa, cancelar el pedido en el sistema no detendrá físicamente la entrega del paquete</t>
        </is>
      </c>
    </row>
    <row r="13" ht="50.1" customHeight="1" s="354">
      <c r="A13" s="362" t="n"/>
      <c r="B13" s="362" t="n"/>
      <c r="C13" s="362" t="n"/>
      <c r="D13" s="362" t="n"/>
      <c r="E13" s="362" t="n"/>
      <c r="F13" s="362" t="n"/>
      <c r="G13" s="74" t="inlineStr">
        <is>
          <t>PED-POL-07</t>
        </is>
      </c>
      <c r="H13" s="74" t="inlineStr">
        <is>
          <t>El sistema solo debe permitir la cancelación si el estado actual es "Pendiente" o "Pagado", pero NO si es "Enviado".</t>
        </is>
      </c>
      <c r="I13" s="362" t="n"/>
      <c r="J13" s="362" t="n"/>
      <c r="K13" s="362" t="n"/>
    </row>
    <row r="14" ht="43.5" customHeight="1" s="354">
      <c r="A14" s="74" t="inlineStr">
        <is>
          <t>Cliente / Administrador</t>
        </is>
      </c>
      <c r="B14" s="74" t="inlineStr">
        <is>
          <t>Consultar pedidos (Tracking)</t>
        </is>
      </c>
      <c r="C14" s="74" t="inlineStr">
        <is>
          <t>Listar las órdenes realizadas en el pasado para revisar garantías, volver a comprar o hacer auditoría.</t>
        </is>
      </c>
      <c r="D14" s="74">
        <f>ListadoObjetosDominio!B12</f>
        <v/>
      </c>
      <c r="E14" s="74" t="inlineStr">
        <is>
          <t>idPedido, idCarrito, idcliente, idDireccion, fechacreacion, estadoLogsitico, totalCompra</t>
        </is>
      </c>
      <c r="F14" s="74" t="inlineStr">
        <is>
          <t>Vista de "Mis Pedidos" en el perfil del cliente o general de ventas para el administrador.</t>
        </is>
      </c>
      <c r="G14" s="74" t="inlineStr">
        <is>
          <t>PED-POL-08</t>
        </is>
      </c>
      <c r="H14" s="74" t="inlineStr">
        <is>
          <t>El cliente solo puede ver sus propios pedidos; el administrador tiene acceso al historial global.</t>
        </is>
      </c>
      <c r="I14" s="74" t="inlineStr">
        <is>
          <t>Base de datos</t>
        </is>
      </c>
      <c r="J14" s="74" t="inlineStr">
        <is>
          <t>Pedidos consultados</t>
        </is>
      </c>
      <c r="K14" s="74" t="inlineStr">
        <is>
          <t>N/A</t>
        </is>
      </c>
    </row>
  </sheetData>
  <mergeCells count="41">
    <mergeCell ref="B12:B13"/>
    <mergeCell ref="J7:J9"/>
    <mergeCell ref="F12:F13"/>
    <mergeCell ref="E5:F5"/>
    <mergeCell ref="C10:C11"/>
    <mergeCell ref="E10:E11"/>
    <mergeCell ref="E4:F4"/>
    <mergeCell ref="C7:C9"/>
    <mergeCell ref="E7:E9"/>
    <mergeCell ref="K7:K9"/>
    <mergeCell ref="A12:A13"/>
    <mergeCell ref="C12:C13"/>
    <mergeCell ref="I12:I13"/>
    <mergeCell ref="K12:K13"/>
    <mergeCell ref="B7:B9"/>
    <mergeCell ref="D12:D13"/>
    <mergeCell ref="B10:B11"/>
    <mergeCell ref="B3:K3"/>
    <mergeCell ref="I5:I6"/>
    <mergeCell ref="A5:A6"/>
    <mergeCell ref="F7:F9"/>
    <mergeCell ref="J12:J13"/>
    <mergeCell ref="G5:H5"/>
    <mergeCell ref="B2:K2"/>
    <mergeCell ref="A10:A11"/>
    <mergeCell ref="I10:I11"/>
    <mergeCell ref="B5:B6"/>
    <mergeCell ref="K10:K11"/>
    <mergeCell ref="D5:D6"/>
    <mergeCell ref="G4:H4"/>
    <mergeCell ref="K5:K6"/>
    <mergeCell ref="D10:D11"/>
    <mergeCell ref="A7:A9"/>
    <mergeCell ref="J5:J6"/>
    <mergeCell ref="I7:I9"/>
    <mergeCell ref="E12:E13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="93" zoomScaleNormal="93" workbookViewId="0">
      <selection activeCell="D27" sqref="D27"/>
    </sheetView>
  </sheetViews>
  <sheetFormatPr baseColWidth="8" defaultColWidth="11" defaultRowHeight="15.95"/>
  <cols>
    <col width="41.625" customWidth="1" style="354" min="1" max="4"/>
    <col width="41.5" customWidth="1" style="354" min="5" max="6"/>
    <col width="25.5" customWidth="1" style="354" min="7" max="7"/>
  </cols>
  <sheetData>
    <row r="1">
      <c r="A1" s="343" t="inlineStr">
        <is>
          <t>&lt;&lt; Ir al modelo de dominio</t>
        </is>
      </c>
      <c r="E1" s="343" t="n"/>
      <c r="F1" s="343" t="n"/>
      <c r="G1" s="335" t="inlineStr">
        <is>
          <t>&lt;&lt; Ir al listado de objetos de dominio</t>
        </is>
      </c>
      <c r="I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ListadoObjetosDominio!B13</f>
        <v/>
      </c>
      <c r="E2" s="332" t="n"/>
      <c r="F2" s="332" t="n"/>
      <c r="G2" s="58" t="n"/>
    </row>
    <row r="3">
      <c r="A3" s="21" t="inlineStr">
        <is>
          <t>Descripción</t>
        </is>
      </c>
      <c r="B3" s="228">
        <f>ListadoObjetosDominio!C13</f>
        <v/>
      </c>
    </row>
    <row r="4" ht="33.95" customHeight="1" s="354">
      <c r="A4" s="29" t="inlineStr">
        <is>
          <t>Identificador único universal (UUID) de la línea de pedido.</t>
        </is>
      </c>
      <c r="B4" s="29" t="inlineStr">
        <is>
          <t>Referencia al pedido al que pertenece esta línea.</t>
        </is>
      </c>
      <c r="C4" s="29" t="inlineStr">
        <is>
          <t>Referencia al producto incluido en esta línea.</t>
        </is>
      </c>
      <c r="D4" s="29" t="inlineStr">
        <is>
          <t>Número de unidades del producto en la línea.</t>
        </is>
      </c>
      <c r="E4" s="29" t="inlineStr">
        <is>
          <t>Precio unitario congelado del producto al momento del pedido.</t>
        </is>
      </c>
      <c r="F4" s="29" t="inlineStr">
        <is>
          <t>Subtotal de la línea (cantidad × precioUnitario).</t>
        </is>
      </c>
    </row>
    <row r="5">
      <c r="A5" s="22" t="inlineStr">
        <is>
          <t>id</t>
        </is>
      </c>
      <c r="B5" s="22" t="inlineStr">
        <is>
          <t>pedido</t>
        </is>
      </c>
      <c r="C5" s="22" t="inlineStr">
        <is>
          <t>producto</t>
        </is>
      </c>
      <c r="D5" s="22" t="inlineStr">
        <is>
          <t>cantidad</t>
        </is>
      </c>
      <c r="E5" s="22" t="inlineStr">
        <is>
          <t>precioUnitario</t>
        </is>
      </c>
      <c r="F5" s="24" t="inlineStr">
        <is>
          <t>subtotal</t>
        </is>
      </c>
    </row>
    <row r="6">
      <c r="A6" s="28" t="inlineStr">
        <is>
          <t>LP000000-1111-4222-8333-000000000001</t>
        </is>
      </c>
      <c r="B6" s="135" t="inlineStr">
        <is>
          <t>PED12345-A1B2-4C3D-8E4F-000000000001</t>
        </is>
      </c>
      <c r="C6" s="135" t="inlineStr">
        <is>
          <t>4F8A0001-2222-4333-8444-555566667701</t>
        </is>
      </c>
      <c r="D6" s="147" t="n">
        <v>1</v>
      </c>
      <c r="E6" s="146" t="n">
        <v>89900</v>
      </c>
      <c r="F6" s="20" t="n">
        <v>89900</v>
      </c>
    </row>
    <row r="7">
      <c r="A7" s="28" t="inlineStr">
        <is>
          <t>LP000000-1111-4222-8333-000000000002</t>
        </is>
      </c>
      <c r="B7" s="135" t="inlineStr">
        <is>
          <t>PED12345-A1B2-4C3D-8E4F-000000000002</t>
        </is>
      </c>
      <c r="C7" s="135" t="inlineStr">
        <is>
          <t>4F8A0001-2222-4333-8444-555566667702</t>
        </is>
      </c>
      <c r="D7" s="147" t="n">
        <v>2</v>
      </c>
      <c r="E7" s="143" t="n">
        <v>145000</v>
      </c>
      <c r="F7" s="20" t="n">
        <v>290000</v>
      </c>
    </row>
    <row r="8">
      <c r="A8" s="28" t="inlineStr">
        <is>
          <t>LP000000-1111-4222-8333-000000000003</t>
        </is>
      </c>
      <c r="B8" s="135" t="inlineStr">
        <is>
          <t>PED12345-A1B2-4C3D-8E4F-000000000003</t>
        </is>
      </c>
      <c r="C8" s="135" t="inlineStr">
        <is>
          <t>4F8A0001-2222-4333-8444-555566667703</t>
        </is>
      </c>
      <c r="D8" s="147" t="n">
        <v>3</v>
      </c>
      <c r="E8" s="145" t="n">
        <v>35500</v>
      </c>
      <c r="F8" s="20" t="n">
        <v>106500</v>
      </c>
    </row>
    <row r="9">
      <c r="A9" s="28" t="inlineStr">
        <is>
          <t>LP000000-1111-4222-8333-000000000004</t>
        </is>
      </c>
      <c r="B9" s="135" t="inlineStr">
        <is>
          <t>PED12345-A1B2-4C3D-8E4F-000000000004</t>
        </is>
      </c>
      <c r="C9" s="135" t="inlineStr">
        <is>
          <t>4F8A0001-2222-4333-8444-555566667705</t>
        </is>
      </c>
      <c r="D9" s="147" t="n">
        <v>1</v>
      </c>
      <c r="E9" s="145" t="n">
        <v>189900</v>
      </c>
      <c r="F9" s="20" t="n">
        <v>189900</v>
      </c>
      <c r="I9" s="335" t="n"/>
    </row>
    <row r="10">
      <c r="A10" s="28" t="inlineStr">
        <is>
          <t>LP000000-1111-4222-8333-000000000005</t>
        </is>
      </c>
      <c r="B10" s="135" t="inlineStr">
        <is>
          <t>PED12345-A1B2-4C3D-8E4F-000000000005</t>
        </is>
      </c>
      <c r="C10" s="135" t="inlineStr">
        <is>
          <t>4F8A0001-2222-4333-8444-555566667701</t>
        </is>
      </c>
      <c r="D10" s="147" t="n">
        <v>2</v>
      </c>
      <c r="E10" s="145" t="n">
        <v>89900</v>
      </c>
      <c r="F10" s="20" t="n">
        <v>179800</v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3:G3"/>
    <mergeCell ref="A1:D1"/>
    <mergeCell ref="A17:G17"/>
    <mergeCell ref="A18:G18"/>
    <mergeCell ref="I1:L1"/>
    <mergeCell ref="G1:H1"/>
    <mergeCell ref="A16:G16"/>
    <mergeCell ref="A15:G15"/>
    <mergeCell ref="A19:G19"/>
    <mergeCell ref="B2:D2"/>
  </mergeCells>
  <hyperlinks>
    <hyperlink ref="A1" location="'Modelo de dominio'!A1" display="&lt;&lt; Ir al modelo de dominio"/>
    <hyperlink ref="G1" location="ListadoObjetosDominio!A1" display="&lt;&lt; Ir al listado de objetos de dominio"/>
    <hyperlink ref="I1" location="'C-Departamento'!A1" display="&lt;&lt; Ir a la caracterización del objeto de dominio"/>
    <hyperlink ref="B6" location="'M-Pedido'!A6" display="PED-2026-001"/>
    <hyperlink ref="C6" location="'M-Producto'!A6" display="'M-Producto'!A6"/>
    <hyperlink ref="B7" location="'M-Pedido'!A6" display="PED-2026-001"/>
    <hyperlink ref="C7" location="'M-Producto'!A7" display="'M-Producto'!A7"/>
    <hyperlink ref="B8" location="'M-Pedido'!A7" display="PED-2026-002"/>
    <hyperlink ref="C8" location="'M-Producto'!A8" display="'M-Producto'!A8"/>
    <hyperlink ref="B9" location="'M-Pedido'!A8" display="PED-2026-003"/>
    <hyperlink ref="C9" location="'M-Producto'!A9" display="'M-Producto'!A9"/>
    <hyperlink ref="B10" location="'M-Pedido'!A9" display="PED-2026-004"/>
    <hyperlink ref="C10" location="'M-Producto'!A10" display="'M-Producto'!A10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1"/>
  <sheetViews>
    <sheetView topLeftCell="B9" zoomScale="75" workbookViewId="0">
      <selection activeCell="K21" sqref="B15:K21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'M-LineaPedido'!B2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'M-LineaPedido'!B3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'M-LineaPedido'!A5</f>
        <v/>
      </c>
      <c r="B5" s="52">
        <f>'M-LineaPedido'!A4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30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'M-LineaPedido'!B5</f>
        <v/>
      </c>
      <c r="B6" s="45">
        <f>'M-LineaPedido'!B4</f>
        <v/>
      </c>
      <c r="C6" s="45" t="inlineStr">
        <is>
          <t>No</t>
        </is>
      </c>
      <c r="D6" s="45" t="inlineStr">
        <is>
          <t>&lt;Pedido&gt;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pedido maestro debe existir y estar en proceso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26" customHeight="1" s="354">
      <c r="A7" s="45">
        <f>'M-LineaPedido'!C5</f>
        <v/>
      </c>
      <c r="B7" s="45">
        <f>'M-LineaPedido'!C4</f>
        <v/>
      </c>
      <c r="C7" s="45" t="inlineStr">
        <is>
          <t>No</t>
        </is>
      </c>
      <c r="D7" s="45" t="inlineStr">
        <is>
          <t>&lt;Producto&gt;</t>
        </is>
      </c>
      <c r="E7" s="45" t="inlineStr">
        <is>
          <t>Si</t>
        </is>
      </c>
      <c r="F7" s="45" t="n"/>
      <c r="G7" s="45" t="n"/>
      <c r="H7" s="45" t="n"/>
      <c r="I7" s="45" t="n"/>
      <c r="J7" s="45" t="n"/>
      <c r="K7" s="45" t="n"/>
      <c r="L7" s="45" t="n"/>
      <c r="M7" s="45" t="inlineStr">
        <is>
          <t>El producto debe estar Activo en el momento de crear la línea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84" customHeight="1" s="354">
      <c r="A8" s="45">
        <f>'M-LineaPedido'!D5</f>
        <v/>
      </c>
      <c r="B8" s="45">
        <f>'M-LineaPedido'!D4</f>
        <v/>
      </c>
      <c r="C8" s="45" t="inlineStr">
        <is>
          <t>No</t>
        </is>
      </c>
      <c r="D8" s="45" t="inlineStr">
        <is>
          <t>Numerico entero</t>
        </is>
      </c>
      <c r="E8" s="45" t="inlineStr">
        <is>
          <t>Si</t>
        </is>
      </c>
      <c r="F8" s="45" t="n"/>
      <c r="G8" s="45" t="n"/>
      <c r="H8" s="45" t="n"/>
      <c r="I8" s="45" t="n"/>
      <c r="J8" s="45" t="n">
        <v>1</v>
      </c>
      <c r="K8" s="45" t="n">
        <v>9999</v>
      </c>
      <c r="L8" s="45" t="n"/>
      <c r="M8" s="45" t="inlineStr">
        <is>
          <t>La cantidad comprada debe ser mayor a cero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>
        <v>1</v>
      </c>
      <c r="U8" s="45" t="inlineStr">
        <is>
          <t>No</t>
        </is>
      </c>
      <c r="V8" s="88" t="n"/>
      <c r="W8" s="98" t="n"/>
      <c r="X8" s="89" t="n"/>
      <c r="Y8" s="90" t="n"/>
    </row>
    <row r="9" ht="182.1" customHeight="1" s="354">
      <c r="A9" s="45">
        <f>'M-LineaPedido'!E5</f>
        <v/>
      </c>
      <c r="B9" s="45">
        <f>'M-LineaPedido'!E4</f>
        <v/>
      </c>
      <c r="C9" s="45" t="inlineStr">
        <is>
          <t>No</t>
        </is>
      </c>
      <c r="D9" s="45" t="inlineStr">
        <is>
          <t>Numerico decimal</t>
        </is>
      </c>
      <c r="E9" s="45" t="inlineStr">
        <is>
          <t>Si</t>
        </is>
      </c>
      <c r="F9" s="45" t="n"/>
      <c r="G9" s="45" t="n"/>
      <c r="H9" s="45" t="n">
        <v>2</v>
      </c>
      <c r="I9" s="45" t="inlineStr">
        <is>
          <t>Truncamiento</t>
        </is>
      </c>
      <c r="J9" s="45" t="n">
        <v>1</v>
      </c>
      <c r="K9" s="45" t="n">
        <v>99999</v>
      </c>
      <c r="L9" s="45" t="n"/>
      <c r="M9" s="45" t="inlineStr">
        <is>
          <t>Se captura el precio actual del catálogo en el instante de la venta. Este valor se vuelve inmutable.</t>
        </is>
      </c>
      <c r="N9" s="45" t="inlineStr">
        <is>
          <t>No</t>
        </is>
      </c>
      <c r="O9" s="45" t="n"/>
      <c r="P9" s="45" t="n"/>
      <c r="Q9" s="45" t="n"/>
      <c r="R9" s="45" t="n"/>
      <c r="S9" s="45" t="inlineStr">
        <is>
          <t>No</t>
        </is>
      </c>
      <c r="T9" s="45" t="n"/>
      <c r="U9" s="45" t="inlineStr">
        <is>
          <t>Si</t>
        </is>
      </c>
      <c r="V9" s="88" t="n"/>
      <c r="W9" s="98" t="n"/>
      <c r="X9" s="89" t="n"/>
      <c r="Y9" s="90" t="n"/>
    </row>
    <row r="11" ht="42" customHeight="1" s="354">
      <c r="A11" s="50" t="inlineStr">
        <is>
          <t>Nombre
combinación unica</t>
        </is>
      </c>
      <c r="B11" s="50" t="inlineStr">
        <is>
          <t>Descripción</t>
        </is>
      </c>
      <c r="C11" s="50" t="inlineStr">
        <is>
          <t>Atributos
involucrados</t>
        </is>
      </c>
    </row>
    <row r="12" ht="33.95" customHeight="1" s="354">
      <c r="A12" s="331">
        <f>'M-LineaPedido'!F5</f>
        <v/>
      </c>
      <c r="B12" s="376">
        <f>'M-LineaPedido'!F4</f>
        <v/>
      </c>
      <c r="C12" s="49">
        <f>'M-LineaPedido'!B5</f>
        <v/>
      </c>
    </row>
    <row r="13" ht="17.1" customHeight="1" s="354">
      <c r="A13" s="362" t="n"/>
      <c r="B13" s="377" t="n"/>
      <c r="C13" s="49">
        <f>'M-LineaPedido'!C5</f>
        <v/>
      </c>
    </row>
    <row r="14" ht="15.75" customHeight="1" s="354"/>
    <row r="15" ht="15.75" customHeight="1" s="354">
      <c r="A15" s="340" t="inlineStr">
        <is>
          <t>Responsabilidad</t>
        </is>
      </c>
      <c r="B15" s="338" t="inlineStr">
        <is>
          <t>Descripción</t>
        </is>
      </c>
      <c r="C15" s="338" t="inlineStr">
        <is>
          <t>Entradas</t>
        </is>
      </c>
      <c r="D15" s="379" t="n"/>
      <c r="E15" s="380" t="n"/>
      <c r="F15" s="338" t="inlineStr">
        <is>
          <t>Salida</t>
        </is>
      </c>
      <c r="G15" s="380" t="n"/>
      <c r="H15" s="338" t="inlineStr">
        <is>
          <t>Políticas (Reglas de Negocio)</t>
        </is>
      </c>
      <c r="I15" s="380" t="n"/>
      <c r="J15" s="338" t="inlineStr">
        <is>
          <t xml:space="preserve">Excepción </t>
        </is>
      </c>
      <c r="K15" s="380" t="n"/>
    </row>
    <row r="16" ht="29.25" customHeight="1" s="354">
      <c r="A16" s="381" t="n"/>
      <c r="B16" s="365" t="n"/>
      <c r="C16" s="255" t="inlineStr">
        <is>
          <t>Parámettro</t>
        </is>
      </c>
      <c r="D16" s="255" t="inlineStr">
        <is>
          <t xml:space="preserve">Tipo de dato </t>
        </is>
      </c>
      <c r="E16" s="255" t="inlineStr">
        <is>
          <t>Descripci</t>
        </is>
      </c>
      <c r="F16" s="255" t="inlineStr">
        <is>
          <t>Tipo de Dato</t>
        </is>
      </c>
      <c r="G16" s="255" t="inlineStr">
        <is>
          <t>Descripción</t>
        </is>
      </c>
      <c r="H16" s="255" t="inlineStr">
        <is>
          <t>Política</t>
        </is>
      </c>
      <c r="I16" s="255" t="inlineStr">
        <is>
          <t>Descripción</t>
        </is>
      </c>
      <c r="J16" s="255" t="inlineStr">
        <is>
          <t>Detalle</t>
        </is>
      </c>
      <c r="K16" s="208" t="inlineStr">
        <is>
          <t>¿Qué hago?</t>
        </is>
      </c>
    </row>
    <row r="17" ht="138.75" customHeight="1" s="354">
      <c r="A17" s="342">
        <f>'E-LineaPedido'!B7</f>
        <v/>
      </c>
      <c r="B17" s="261">
        <f>'E-LineaPedido'!C7</f>
        <v/>
      </c>
      <c r="C17" s="256" t="inlineStr">
        <is>
          <t>lineaNueva</t>
        </is>
      </c>
      <c r="D17" s="256" t="inlineStr">
        <is>
          <t>LineaPedido</t>
        </is>
      </c>
      <c r="E17" s="257" t="inlineStr">
        <is>
          <t>Contiene la información de la línea de pedido que se va a registrar.</t>
        </is>
      </c>
      <c r="F17" s="256" t="inlineStr">
        <is>
          <t>Logico</t>
        </is>
      </c>
      <c r="G17" s="256" t="inlineStr">
        <is>
          <t>Retorna verdadero si la línea de pedido se registró correctamente.</t>
        </is>
      </c>
      <c r="H17" s="197">
        <f>'E-LineaPedido'!G7</f>
        <v/>
      </c>
      <c r="I17" s="198">
        <f>'E-LineaPedido'!H7</f>
        <v/>
      </c>
      <c r="J17" s="197" t="inlineStr">
        <is>
          <t>Generar excepción indicando qué campo no cumple con el formato o es obligatorio.</t>
        </is>
      </c>
      <c r="K17" s="209" t="inlineStr">
        <is>
          <t>Detener operación</t>
        </is>
      </c>
    </row>
    <row r="18" ht="176.25" customHeight="1" s="354">
      <c r="A18" s="382" t="n"/>
      <c r="B18" s="366" t="n"/>
      <c r="C18" s="366" t="n"/>
      <c r="D18" s="366" t="n"/>
      <c r="E18" s="366" t="n"/>
      <c r="F18" s="366" t="n"/>
      <c r="G18" s="366" t="n"/>
      <c r="H18" s="197">
        <f>'E-LineaPedido'!G8</f>
        <v/>
      </c>
      <c r="I18" s="198">
        <f>'E-LineaPedido'!H8</f>
        <v/>
      </c>
      <c r="J18" s="197" t="inlineStr">
        <is>
          <t>Generar excepción indicando que el producto a registrar no existe en el histórico del catálogo.</t>
        </is>
      </c>
      <c r="K18" s="209" t="inlineStr">
        <is>
          <t>Detener operación</t>
        </is>
      </c>
    </row>
    <row r="19" ht="189" customHeight="1" s="354">
      <c r="A19" s="381" t="n"/>
      <c r="B19" s="365" t="n"/>
      <c r="C19" s="365" t="n"/>
      <c r="D19" s="365" t="n"/>
      <c r="E19" s="365" t="n"/>
      <c r="F19" s="365" t="n"/>
      <c r="G19" s="365" t="n"/>
      <c r="H19" s="197">
        <f>'E-LineaPedido'!G9</f>
        <v/>
      </c>
      <c r="I19" s="198">
        <f>'E-LineaPedido'!H9</f>
        <v/>
      </c>
      <c r="J19" s="197" t="inlineStr">
        <is>
          <t>Generar excepción indicando que el valor del precio congelado es inconsistente con el catálogo.</t>
        </is>
      </c>
      <c r="K19" s="209" t="inlineStr">
        <is>
          <t>Detener operación</t>
        </is>
      </c>
    </row>
    <row r="20" ht="215.25" customHeight="1" s="354">
      <c r="A20" s="210">
        <f>'E-LineaPedido'!B10</f>
        <v/>
      </c>
      <c r="B20" s="207">
        <f>'E-LineaPedido'!C10</f>
        <v/>
      </c>
      <c r="C20" s="207" t="inlineStr">
        <is>
          <t>idLineaPedido</t>
        </is>
      </c>
      <c r="D20" s="207" t="inlineStr">
        <is>
          <t>alfanumerico</t>
        </is>
      </c>
      <c r="E20" s="207" t="inlineStr">
        <is>
          <t>Identificador exacto de la línea de pedido que se desea devolver o anular.</t>
        </is>
      </c>
      <c r="F20" s="207" t="inlineStr">
        <is>
          <t>Logico</t>
        </is>
      </c>
      <c r="G20" s="207" t="inlineStr">
        <is>
          <t>Retorna verdadero si la línea de pedido se devolvió o canceló exitosamente.</t>
        </is>
      </c>
      <c r="H20" s="346">
        <f>'E-LineaPedido'!G10</f>
        <v/>
      </c>
      <c r="I20" s="346">
        <f>'E-LineaPedido'!H10</f>
        <v/>
      </c>
      <c r="J20" s="346" t="inlineStr">
        <is>
          <t>Generar excepción indicando que el pedido padre aún no ha sido entregado o no es válido para devoluciones.</t>
        </is>
      </c>
      <c r="K20" s="211" t="inlineStr">
        <is>
          <t>Detener operación</t>
        </is>
      </c>
    </row>
    <row r="21" ht="174" customHeight="1" s="354">
      <c r="A21" s="212">
        <f>'E-LineaPedido'!B11</f>
        <v/>
      </c>
      <c r="B21" s="213">
        <f>'E-LineaPedido'!C11</f>
        <v/>
      </c>
      <c r="C21" s="214" t="inlineStr">
        <is>
          <t>idPedido</t>
        </is>
      </c>
      <c r="D21" s="214" t="inlineStr">
        <is>
          <t>alfanumerico</t>
        </is>
      </c>
      <c r="E21" s="214" t="inlineStr">
        <is>
          <t>Identificador del pedido padre del cual se quieren obtener sus líneas de detalle.</t>
        </is>
      </c>
      <c r="F21" s="214" t="inlineStr">
        <is>
          <t>Lista&lt;LineaPedido&gt;</t>
        </is>
      </c>
      <c r="G21" s="214" t="inlineStr">
        <is>
          <t>Retorna una colección con los objetos de las líneas de pedido encontradas.</t>
        </is>
      </c>
      <c r="H21" s="215">
        <f>'E-LineaPedido'!G11</f>
        <v/>
      </c>
      <c r="I21" s="215">
        <f>'E-LineaPedido'!H11</f>
        <v/>
      </c>
      <c r="J21" s="215" t="inlineStr">
        <is>
          <t>Generar excepción indicando acceso denegado por intentar visualizar el detalle de un pedido ajeno.</t>
        </is>
      </c>
      <c r="K21" s="216" t="inlineStr">
        <is>
          <t>Detener operación</t>
        </is>
      </c>
    </row>
    <row r="22" ht="15.75" customHeight="1" s="354"/>
    <row r="23" ht="15.75" customHeight="1" s="354"/>
    <row r="24" ht="15.75" customHeight="1" s="354"/>
  </sheetData>
  <mergeCells count="18">
    <mergeCell ref="F17:F19"/>
    <mergeCell ref="B17:B19"/>
    <mergeCell ref="E17:E19"/>
    <mergeCell ref="G17:G19"/>
    <mergeCell ref="A12:A13"/>
    <mergeCell ref="A17:A19"/>
    <mergeCell ref="B12:B13"/>
    <mergeCell ref="F15:G15"/>
    <mergeCell ref="C17:C19"/>
    <mergeCell ref="J15:K15"/>
    <mergeCell ref="H15:I15"/>
    <mergeCell ref="A15:A16"/>
    <mergeCell ref="D17:D19"/>
    <mergeCell ref="A1:B1"/>
    <mergeCell ref="G1:J1"/>
    <mergeCell ref="D1:F1"/>
    <mergeCell ref="C15:E15"/>
    <mergeCell ref="B15:B16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20" location="RANGE!W4" display="Eliminar de forma definitiva la información de un nuevo País"/>
    <hyperlink ref="A21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E7" workbookViewId="0">
      <selection activeCell="H11" sqref="H11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ListadoObjetosDominio!B13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ListadoObjetosDominio!C13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43" t="inlineStr">
        <is>
          <t xml:space="preserve">Sistema </t>
        </is>
      </c>
      <c r="B7" s="243" t="inlineStr">
        <is>
          <t>Registrar línea de pedido</t>
        </is>
      </c>
      <c r="C7" s="243" t="inlineStr">
        <is>
          <t>Guardar el registro inmutable de un producto comprado, congelando su precio y cantidad exactos al momento del pago.</t>
        </is>
      </c>
      <c r="D7" s="243">
        <f>ListadoObjetosDominio!B13</f>
        <v/>
      </c>
      <c r="E7" s="243" t="inlineStr">
        <is>
          <t>idPedido, idProducto, cantidad, precioCongelado</t>
        </is>
      </c>
      <c r="F7" s="243" t="inlineStr">
        <is>
          <t>Registro histórico interno que detalla qué artículos conforman el pedido total.</t>
        </is>
      </c>
      <c r="G7" s="74" t="inlineStr">
        <is>
          <t>LIN-POL-01</t>
        </is>
      </c>
      <c r="H7" s="74" t="inlineStr">
        <is>
          <t>Asegurar que los datos requeridos sean válidos a nivel de tipo, formato, longitud y obligatoriedad.</t>
        </is>
      </c>
      <c r="I7" s="243" t="inlineStr">
        <is>
          <t>Software Contable</t>
        </is>
      </c>
      <c r="J7" s="243" t="inlineStr">
        <is>
          <t>Línea de pedido registrada</t>
        </is>
      </c>
      <c r="K7" s="243" t="inlineStr">
        <is>
          <t>Riesgo de que el producto se agote físicamente entre el momento en que estaba en el carrito y el milisegundo en que se crea la línea de pedido.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LIN-POL-02</t>
        </is>
      </c>
      <c r="H8" s="74" t="inlineStr">
        <is>
          <t>El idProducto debe existir en el catálogo, pero su estado actual no importa (incluso si fue inactivado después de la compra).</t>
        </is>
      </c>
      <c r="I8" s="363" t="n"/>
      <c r="J8" s="363" t="n"/>
      <c r="K8" s="363" t="n"/>
    </row>
    <row r="9" ht="50.1" customHeight="1" s="354">
      <c r="A9" s="363" t="n"/>
      <c r="B9" s="363" t="n"/>
      <c r="C9" s="363" t="n"/>
      <c r="D9" s="363" t="n"/>
      <c r="E9" s="363" t="n"/>
      <c r="F9" s="363" t="n"/>
      <c r="G9" s="74" t="inlineStr">
        <is>
          <t>LIN-POL-03</t>
        </is>
      </c>
      <c r="H9" s="74" t="inlineStr">
        <is>
          <t>El precioCongelado debe ser una copia exacta del precio que tenía el producto al momento de la compra, asegurando inmutabilidad.</t>
        </is>
      </c>
      <c r="I9" s="363" t="n"/>
      <c r="J9" s="363" t="n"/>
      <c r="K9" s="363" t="n"/>
    </row>
    <row r="10" ht="50.1" customHeight="1" s="354">
      <c r="A10" s="179" t="inlineStr">
        <is>
          <t>Administrador</t>
        </is>
      </c>
      <c r="B10" s="179" t="inlineStr">
        <is>
          <t>Devolver / Cancelar línea (Reembolso parcial)</t>
        </is>
      </c>
      <c r="C10" s="179" t="inlineStr">
        <is>
          <t>Anular un ítem específico del pedido porque llegó defectuoso o el cliente pidió garantía, sin cancelar todo el pedido.</t>
        </is>
      </c>
      <c r="D10" s="179">
        <f>ListadoObjetosDominio!B13</f>
        <v/>
      </c>
      <c r="E10" s="179" t="inlineStr">
        <is>
          <t>idLineaPedido, idPedido, idProducto, cantidad, precioCongelado</t>
        </is>
      </c>
      <c r="F10" s="179" t="inlineStr">
        <is>
          <t>Panel de gestión de garantías y devoluciones en el administrador.</t>
        </is>
      </c>
      <c r="G10" s="179" t="inlineStr">
        <is>
          <t>LIN-POL-04</t>
        </is>
      </c>
      <c r="H10" s="179" t="inlineStr">
        <is>
          <t>Solo se puede devolver una línea si el pedido padre (idPedido) está en estado "Entregado" o "Completado".</t>
        </is>
      </c>
      <c r="I10" s="179" t="inlineStr">
        <is>
          <t>Pasarela de Pagos (API de Reembolsos)</t>
        </is>
      </c>
      <c r="J10" s="179" t="inlineStr">
        <is>
          <t>Línea de pedido devuelta (reembolsada)</t>
        </is>
      </c>
      <c r="K10" s="179" t="inlineStr">
        <is>
          <t>Si se devuelve una línea de pedido, ¿el sistema debe retornar automáticamente esa "cantidad" al stock disponible del inventario?</t>
        </is>
      </c>
    </row>
    <row r="11" ht="43.5" customHeight="1" s="354">
      <c r="A11" s="173" t="inlineStr">
        <is>
          <t>Cliente/Administrador</t>
        </is>
      </c>
      <c r="B11" s="173" t="inlineStr">
        <is>
          <t>Consultar detalle de pedido</t>
        </is>
      </c>
      <c r="C11" s="173" t="inlineStr">
        <is>
          <t>Listar los productos exactos, cantidades y precios que el cliente compró dentro de un pedido específico.</t>
        </is>
      </c>
      <c r="D11" s="173" t="inlineStr">
        <is>
          <t>LineaPedido</t>
        </is>
      </c>
      <c r="E11" s="173" t="inlineStr">
        <is>
          <t>idLineaPedido, idPedido, idProducto, cantidad, precioCongelado</t>
        </is>
      </c>
      <c r="F11" s="173" t="inlineStr">
        <is>
          <t>Vista de "Detalle de factura" o "Ítems del pedido" en el perfil del cliente.</t>
        </is>
      </c>
      <c r="G11" s="173" t="inlineStr">
        <is>
          <t>LIN-POL-05</t>
        </is>
      </c>
      <c r="H11" s="173" t="inlineStr">
        <is>
          <t>El cliente solo puede consultar las líneas de pedido que pertenezcan a un idPedido asociado a su cuenta.</t>
        </is>
      </c>
      <c r="I11" s="173" t="n"/>
      <c r="J11" s="173" t="inlineStr">
        <is>
          <t>Líneas de pedido consultadas</t>
        </is>
      </c>
      <c r="K11" s="173" t="inlineStr">
        <is>
          <t>N/A</t>
        </is>
      </c>
    </row>
  </sheetData>
  <mergeCells count="23">
    <mergeCell ref="J7:J9"/>
    <mergeCell ref="E5:F5"/>
    <mergeCell ref="E4:F4"/>
    <mergeCell ref="C7:C9"/>
    <mergeCell ref="E7:E9"/>
    <mergeCell ref="K7:K9"/>
    <mergeCell ref="B7:B9"/>
    <mergeCell ref="B3:K3"/>
    <mergeCell ref="I5:I6"/>
    <mergeCell ref="A5:A6"/>
    <mergeCell ref="F7:F9"/>
    <mergeCell ref="G5:H5"/>
    <mergeCell ref="B2:K2"/>
    <mergeCell ref="B5:B6"/>
    <mergeCell ref="D5:D6"/>
    <mergeCell ref="G4:H4"/>
    <mergeCell ref="K5:K6"/>
    <mergeCell ref="A7:A9"/>
    <mergeCell ref="J5:J6"/>
    <mergeCell ref="I7:I9"/>
    <mergeCell ref="D7:D9"/>
    <mergeCell ref="B4:C4"/>
    <mergeCell ref="C5:C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9"/>
  <sheetViews>
    <sheetView topLeftCell="D1" zoomScale="93" zoomScaleNormal="93" workbookViewId="0">
      <selection activeCell="H6" sqref="H6"/>
    </sheetView>
  </sheetViews>
  <sheetFormatPr baseColWidth="8" defaultColWidth="11" defaultRowHeight="15.95"/>
  <cols>
    <col width="41.625" customWidth="1" style="354" min="1" max="3"/>
    <col width="41.5" customWidth="1" style="354" min="4" max="8"/>
    <col width="25.5" customWidth="1" style="354" min="9" max="9"/>
  </cols>
  <sheetData>
    <row r="1">
      <c r="A1" s="343" t="inlineStr">
        <is>
          <t>&lt;&lt; Ir al modelo de dominio</t>
        </is>
      </c>
      <c r="D1" s="343" t="n"/>
      <c r="E1" s="343" t="n"/>
      <c r="F1" s="343" t="n"/>
      <c r="G1" s="343" t="n"/>
      <c r="H1" s="343" t="n"/>
      <c r="I1" s="335" t="inlineStr">
        <is>
          <t>&lt;&lt; Ir al listado de objetos de dominio</t>
        </is>
      </c>
      <c r="K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ListadoObjetosDominio!B14</f>
        <v/>
      </c>
      <c r="D2" s="332" t="n"/>
      <c r="E2" s="332" t="n"/>
      <c r="F2" s="332" t="n"/>
      <c r="G2" s="332" t="n"/>
      <c r="H2" s="332" t="n"/>
      <c r="I2" s="58" t="n"/>
    </row>
    <row r="3">
      <c r="A3" s="21" t="inlineStr">
        <is>
          <t>Descripción</t>
        </is>
      </c>
      <c r="B3" s="228">
        <f>ListadoObjetosDominio!C14</f>
        <v/>
      </c>
    </row>
    <row r="4" ht="51" customHeight="1" s="354">
      <c r="A4" s="29" t="inlineStr">
        <is>
          <t>Identificador único universal (UUID) del pago.</t>
        </is>
      </c>
      <c r="B4" s="29" t="inlineStr">
        <is>
          <t>Referencia al pedido asociado al pago.</t>
        </is>
      </c>
      <c r="C4" s="29" t="inlineStr">
        <is>
          <t>Referencia al método de pago utilizado.</t>
        </is>
      </c>
      <c r="D4" s="29" t="inlineStr">
        <is>
          <t>Monto del pago en pesos colombianos (COP).</t>
        </is>
      </c>
      <c r="E4" s="29" t="inlineStr">
        <is>
          <t>Fecha en que se procesó el pago (LocalDate).</t>
        </is>
      </c>
      <c r="F4" s="29" t="inlineStr">
        <is>
          <t>Estado del pago (PENDIENTE, EN_PROCESO, APROBADO, RECHAZADO, REEMBOLSADO).</t>
        </is>
      </c>
      <c r="G4" s="29" t="n"/>
      <c r="H4" s="29" t="n"/>
    </row>
    <row r="5">
      <c r="A5" s="22" t="inlineStr">
        <is>
          <t>id</t>
        </is>
      </c>
      <c r="B5" s="22" t="inlineStr">
        <is>
          <t>pedido</t>
        </is>
      </c>
      <c r="C5" s="22" t="inlineStr">
        <is>
          <t>metodoPago</t>
        </is>
      </c>
      <c r="D5" s="22" t="inlineStr">
        <is>
          <t>monto</t>
        </is>
      </c>
      <c r="E5" s="22" t="inlineStr">
        <is>
          <t>fechaPago</t>
        </is>
      </c>
      <c r="F5" s="22" t="inlineStr">
        <is>
          <t>estado</t>
        </is>
      </c>
      <c r="G5" s="22" t="n"/>
      <c r="H5" s="24" t="n"/>
    </row>
    <row r="6">
      <c r="A6" s="28" t="inlineStr">
        <is>
          <t>PA000000-1111-4222-8333-BBBBBB000001</t>
        </is>
      </c>
      <c r="B6" s="135" t="inlineStr">
        <is>
          <t>PED12345-A1B2-4C3D-8E4F-000000000001</t>
        </is>
      </c>
      <c r="C6" s="149" t="inlineStr">
        <is>
          <t>MP000000-1111-4222-8333-AAAAAA000001</t>
        </is>
      </c>
      <c r="D6" t="n">
        <v>89900</v>
      </c>
      <c r="E6" s="146" t="inlineStr">
        <is>
          <t>2026-05-15</t>
        </is>
      </c>
      <c r="F6" s="146" t="inlineStr">
        <is>
          <t>PENDIENTE</t>
        </is>
      </c>
      <c r="G6" s="140" t="n"/>
      <c r="H6" s="20" t="n"/>
    </row>
    <row r="7">
      <c r="A7" s="28" t="inlineStr">
        <is>
          <t>PA000000-1111-4222-8333-BBBBBB000002</t>
        </is>
      </c>
      <c r="B7" s="135" t="inlineStr">
        <is>
          <t>PED12345-A1B2-4C3D-8E4F-000000000002</t>
        </is>
      </c>
      <c r="C7" s="149" t="inlineStr">
        <is>
          <t>MP000000-1111-4222-8333-AAAAAA000002</t>
        </is>
      </c>
      <c r="D7" t="n">
        <v>290000</v>
      </c>
      <c r="E7" s="143" t="inlineStr">
        <is>
          <t>2026-05-16</t>
        </is>
      </c>
      <c r="F7" s="143" t="inlineStr">
        <is>
          <t>APROBADO</t>
        </is>
      </c>
      <c r="G7" s="140" t="n"/>
      <c r="H7" s="20" t="n"/>
    </row>
    <row r="8">
      <c r="A8" s="28" t="inlineStr">
        <is>
          <t>PA000000-1111-4222-8333-BBBBBB000003</t>
        </is>
      </c>
      <c r="B8" s="135" t="inlineStr">
        <is>
          <t>PED12345-A1B2-4C3D-8E4F-000000000003</t>
        </is>
      </c>
      <c r="C8" s="149" t="inlineStr">
        <is>
          <t>MP000000-1111-4222-8333-AAAAAA000003</t>
        </is>
      </c>
      <c r="D8" t="n">
        <v>106500</v>
      </c>
      <c r="E8" s="145" t="inlineStr">
        <is>
          <t>2026-05-17</t>
        </is>
      </c>
      <c r="F8" s="145" t="inlineStr">
        <is>
          <t>EN_PROCESO</t>
        </is>
      </c>
      <c r="G8" s="140" t="n"/>
      <c r="H8" s="20" t="n"/>
    </row>
    <row r="9">
      <c r="A9" s="28" t="inlineStr">
        <is>
          <t>PA000000-1111-4222-8333-BBBBBB000004</t>
        </is>
      </c>
      <c r="B9" s="135" t="inlineStr">
        <is>
          <t>PED12345-A1B2-4C3D-8E4F-000000000004</t>
        </is>
      </c>
      <c r="C9" s="149" t="inlineStr">
        <is>
          <t>MP000000-1111-4222-8333-AAAAAA000002</t>
        </is>
      </c>
      <c r="D9" t="n">
        <v>189900</v>
      </c>
      <c r="E9" s="145" t="inlineStr">
        <is>
          <t>2026-05-18</t>
        </is>
      </c>
      <c r="F9" s="145" t="inlineStr">
        <is>
          <t>APROBADO</t>
        </is>
      </c>
      <c r="G9" s="140" t="n"/>
      <c r="H9" s="20" t="n"/>
      <c r="K9" s="335" t="n"/>
    </row>
    <row r="10">
      <c r="A10" s="28" t="inlineStr">
        <is>
          <t>PA000000-1111-4222-8333-BBBBBB000005</t>
        </is>
      </c>
      <c r="B10" s="135" t="inlineStr">
        <is>
          <t>PED12345-A1B2-4C3D-8E4F-000000000005</t>
        </is>
      </c>
      <c r="C10" s="149" t="inlineStr">
        <is>
          <t>MP000000-1111-4222-8333-AAAAAA000004</t>
        </is>
      </c>
      <c r="D10" t="n">
        <v>179800</v>
      </c>
      <c r="E10" s="145" t="inlineStr">
        <is>
          <t>2026-05-19</t>
        </is>
      </c>
      <c r="F10" s="145" t="inlineStr">
        <is>
          <t>RECHAZADO</t>
        </is>
      </c>
      <c r="G10" s="140" t="n"/>
      <c r="H10" s="20" t="n"/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325" t="n"/>
      <c r="H13" s="325" t="n"/>
      <c r="I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31" t="n"/>
      <c r="H14" s="31" t="n"/>
      <c r="I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A15:I15"/>
    <mergeCell ref="B2:C2"/>
    <mergeCell ref="A19:I19"/>
    <mergeCell ref="A1:C1"/>
    <mergeCell ref="A17:I17"/>
    <mergeCell ref="A18:I18"/>
    <mergeCell ref="B3:I3"/>
    <mergeCell ref="K1:N1"/>
    <mergeCell ref="I1:J1"/>
    <mergeCell ref="A16:I16"/>
  </mergeCells>
  <hyperlinks>
    <hyperlink ref="A1" location="'Modelo de dominio'!A1" display="&lt;&lt; Ir al modelo de dominio"/>
    <hyperlink ref="I1" location="ListadoObjetosDominio!A1" display="&lt;&lt; Ir al listado de objetos de dominio"/>
    <hyperlink ref="K1" location="'C-Departamento'!A1" display="&lt;&lt; Ir a la caracterización del objeto de dominio"/>
    <hyperlink ref="B6" location="'M-Pedido'!A6" display="PED-2026-001"/>
    <hyperlink ref="D6" location="'M-Pedido'!A6" display="PED-2026-001"/>
    <hyperlink ref="B7" location="'M-Pedido'!A6" display="PED-2026-001"/>
    <hyperlink ref="D7" location="'M-Pedido'!A6" display="PED-2026-001"/>
    <hyperlink ref="B8" location="'M-Pedido'!A6" display="PED-2026-001"/>
    <hyperlink ref="D8" location="'M-Pedido'!A7" display="PED-2026-002"/>
    <hyperlink ref="B9" location="'M-Pedido'!A6" display="PED-2026-001"/>
    <hyperlink ref="D9" location="'M-Pedido'!A8" display="PED-2026-003"/>
    <hyperlink ref="B10" location="'M-Pedido'!A6" display="PED-2026-001"/>
    <hyperlink ref="D10" location="'M-Pedido'!A9" display="PED-2026-004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5"/>
  <sheetViews>
    <sheetView topLeftCell="A20" zoomScale="75" workbookViewId="0">
      <selection activeCell="A17" sqref="A17:K25"/>
    </sheetView>
  </sheetViews>
  <sheetFormatPr baseColWidth="8" defaultColWidth="11" defaultRowHeight="15.95"/>
  <cols>
    <col width="19.125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'M-Pagos'!B2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'M-Pagos'!B3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111.95" customHeight="1" s="354">
      <c r="A5" s="45">
        <f>'M-Pagos'!A5</f>
        <v/>
      </c>
      <c r="B5" s="52">
        <f>'M-Pagos'!A4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5</v>
      </c>
      <c r="G5" s="45" t="n">
        <v>50</v>
      </c>
      <c r="H5" s="45" t="n"/>
      <c r="I5" s="45" t="n"/>
      <c r="J5" s="45" t="n"/>
      <c r="K5" s="45" t="n"/>
      <c r="L5" s="45" t="inlineStr">
        <is>
          <t>Mayusculas</t>
        </is>
      </c>
      <c r="M5" s="45" t="inlineStr">
        <is>
          <t>Código de autorización emitido por la pasarela de pagos</t>
        </is>
      </c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Si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'M-Pagos'!B5</f>
        <v/>
      </c>
      <c r="B6" s="45">
        <f>'M-Pagos'!B4</f>
        <v/>
      </c>
      <c r="C6" s="45" t="inlineStr">
        <is>
          <t>No</t>
        </is>
      </c>
      <c r="D6" s="45" t="inlineStr">
        <is>
          <t>&lt;Pedido&gt;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pedido debe existir y no estar cancelado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98.09999999999999" customHeight="1" s="354">
      <c r="A7" s="45">
        <f>'M-Pagos'!C5</f>
        <v/>
      </c>
      <c r="B7" s="45">
        <f>'M-Pagos'!C4</f>
        <v/>
      </c>
      <c r="C7" s="45" t="inlineStr">
        <is>
          <t>No</t>
        </is>
      </c>
      <c r="D7" s="45" t="inlineStr">
        <is>
          <t>Numerico decimal</t>
        </is>
      </c>
      <c r="E7" s="45" t="inlineStr">
        <is>
          <t>Si</t>
        </is>
      </c>
      <c r="F7" s="45" t="n"/>
      <c r="G7" s="45" t="n"/>
      <c r="H7" s="45" t="n">
        <v>2</v>
      </c>
      <c r="I7" s="45" t="inlineStr">
        <is>
          <t>Truncamiento</t>
        </is>
      </c>
      <c r="J7" s="45" t="n">
        <v>1</v>
      </c>
      <c r="K7" s="45" t="n">
        <v>999999</v>
      </c>
      <c r="L7" s="45" t="n"/>
      <c r="M7" s="45" t="inlineStr">
        <is>
          <t>Debe ser igual al totalCompra liquidado en el Pedido</t>
        </is>
      </c>
      <c r="N7" s="45" t="inlineStr">
        <is>
          <t>No</t>
        </is>
      </c>
      <c r="O7" s="45" t="n"/>
      <c r="P7" s="45" t="n"/>
      <c r="Q7" s="45" t="n"/>
      <c r="R7" s="45" t="n"/>
      <c r="S7" s="45" t="inlineStr">
        <is>
          <t>No</t>
        </is>
      </c>
      <c r="T7" s="45" t="n"/>
      <c r="U7" s="45" t="inlineStr">
        <is>
          <t>Si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84" customHeight="1" s="354">
      <c r="A8" s="45">
        <f>'M-Pagos'!D5</f>
        <v/>
      </c>
      <c r="B8" s="45">
        <f>'M-Pagos'!D4</f>
        <v/>
      </c>
      <c r="C8" s="45" t="inlineStr">
        <is>
          <t>No</t>
        </is>
      </c>
      <c r="D8" s="45" t="inlineStr">
        <is>
          <t>&lt;MetodoPago&gt;</t>
        </is>
      </c>
      <c r="E8" s="45" t="inlineStr">
        <is>
          <t>Si</t>
        </is>
      </c>
      <c r="F8" s="45" t="n"/>
      <c r="G8" s="45" t="n"/>
      <c r="H8" s="45" t="n"/>
      <c r="I8" s="45" t="n"/>
      <c r="J8" s="45" t="n"/>
      <c r="K8" s="45" t="n"/>
      <c r="L8" s="45" t="n"/>
      <c r="M8" s="45" t="inlineStr">
        <is>
          <t>El método seleccionado debe estar Activo en el sistema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/>
      <c r="U8" s="45" t="inlineStr">
        <is>
          <t>No</t>
        </is>
      </c>
      <c r="V8" s="88" t="n"/>
      <c r="W8" s="98" t="n"/>
      <c r="X8" s="89" t="n"/>
      <c r="Y8" s="90" t="n"/>
    </row>
    <row r="9" ht="111.95" customHeight="1" s="354">
      <c r="A9" s="45">
        <f>'M-Pagos'!E5</f>
        <v/>
      </c>
      <c r="B9" s="45">
        <f>'M-Pagos'!E4</f>
        <v/>
      </c>
      <c r="C9" s="45" t="inlineStr">
        <is>
          <t xml:space="preserve">No </t>
        </is>
      </c>
      <c r="D9" s="45" t="inlineStr">
        <is>
          <t>Texto</t>
        </is>
      </c>
      <c r="E9" s="45" t="inlineStr">
        <is>
          <t>Si</t>
        </is>
      </c>
      <c r="F9" s="45" t="n">
        <v>6</v>
      </c>
      <c r="G9" s="45" t="n">
        <v>20</v>
      </c>
      <c r="H9" s="45" t="n"/>
      <c r="I9" s="45" t="n"/>
      <c r="J9" s="45" t="n"/>
      <c r="K9" s="45" t="n"/>
      <c r="L9" s="45" t="inlineStr">
        <is>
          <t>Capitalizado</t>
        </is>
      </c>
      <c r="M9" s="45" t="inlineStr">
        <is>
          <t>Solo permite: 'Aprobado', 'Rechazado' o 'Pendiente'</t>
        </is>
      </c>
      <c r="N9" s="45" t="inlineStr">
        <is>
          <t>No</t>
        </is>
      </c>
      <c r="O9" s="45" t="inlineStr">
        <is>
          <t>No</t>
        </is>
      </c>
      <c r="P9" s="45" t="n"/>
      <c r="Q9" s="45" t="inlineStr">
        <is>
          <t>Si</t>
        </is>
      </c>
      <c r="R9" s="45" t="inlineStr">
        <is>
          <t>Si</t>
        </is>
      </c>
      <c r="S9" s="45" t="inlineStr">
        <is>
          <t>No</t>
        </is>
      </c>
      <c r="T9" s="45" t="inlineStr">
        <is>
          <t>Pendiente</t>
        </is>
      </c>
      <c r="U9" s="45" t="inlineStr">
        <is>
          <t>No</t>
        </is>
      </c>
      <c r="V9" s="88" t="n"/>
      <c r="W9" s="98" t="n"/>
      <c r="X9" s="89" t="n"/>
      <c r="Y9" s="90" t="n"/>
    </row>
    <row r="10" ht="98.09999999999999" customHeight="1" s="354">
      <c r="A10" s="45">
        <f>'M-Pagos'!F5</f>
        <v/>
      </c>
      <c r="B10" s="45">
        <f>'M-Pagos'!F4</f>
        <v/>
      </c>
      <c r="C10" s="45" t="inlineStr">
        <is>
          <t xml:space="preserve">No </t>
        </is>
      </c>
      <c r="D10" s="45" t="inlineStr">
        <is>
          <t>alfanumerico</t>
        </is>
      </c>
      <c r="E10" s="45" t="inlineStr">
        <is>
          <t>No</t>
        </is>
      </c>
      <c r="F10" s="45" t="n">
        <v>5</v>
      </c>
      <c r="G10" s="45" t="n">
        <v>50</v>
      </c>
      <c r="H10" s="45" t="n"/>
      <c r="I10" s="45" t="n"/>
      <c r="J10" s="45" t="n"/>
      <c r="K10" s="45" t="n"/>
      <c r="L10" s="45" t="inlineStr">
        <is>
          <t>Mayusculas</t>
        </is>
      </c>
      <c r="M10" s="45" t="inlineStr">
        <is>
          <t>Solo se llena si la transacción es aprobada por el banco</t>
        </is>
      </c>
      <c r="N10" s="45" t="inlineStr">
        <is>
          <t>No</t>
        </is>
      </c>
      <c r="O10" s="45" t="inlineStr">
        <is>
          <t>No</t>
        </is>
      </c>
      <c r="P10" s="45" t="n"/>
      <c r="Q10" s="45" t="inlineStr">
        <is>
          <t>Si</t>
        </is>
      </c>
      <c r="R10" s="45" t="inlineStr">
        <is>
          <t>Si</t>
        </is>
      </c>
      <c r="S10" s="45" t="inlineStr">
        <is>
          <t>Si</t>
        </is>
      </c>
      <c r="T10" s="45" t="n"/>
      <c r="U10" s="45" t="inlineStr">
        <is>
          <t>Si</t>
        </is>
      </c>
      <c r="V10" s="88" t="n"/>
      <c r="W10" s="98" t="n"/>
      <c r="X10" s="89" t="n"/>
      <c r="Y10" s="90" t="n"/>
    </row>
    <row r="11" ht="98.09999999999999" customHeight="1" s="354">
      <c r="A11" s="45">
        <f>'M-Pagos'!G5</f>
        <v/>
      </c>
      <c r="B11" s="45">
        <f>'M-Pagos'!G4</f>
        <v/>
      </c>
      <c r="C11" s="45" t="inlineStr">
        <is>
          <t xml:space="preserve">No </t>
        </is>
      </c>
      <c r="D11" s="45" t="inlineStr">
        <is>
          <t>Fecha/Hora</t>
        </is>
      </c>
      <c r="E11" s="45" t="inlineStr">
        <is>
          <t>Si</t>
        </is>
      </c>
      <c r="F11" s="45" t="n"/>
      <c r="G11" s="45" t="n"/>
      <c r="H11" s="45" t="n"/>
      <c r="I11" s="45" t="n"/>
      <c r="J11" s="45" t="n"/>
      <c r="K11" s="45" t="n"/>
      <c r="L11" s="45" t="n"/>
      <c r="M11" s="45" t="inlineStr">
        <is>
          <t>Registra el momento en que la pasarela emite una respuesta</t>
        </is>
      </c>
      <c r="N11" s="45" t="inlineStr">
        <is>
          <t>No</t>
        </is>
      </c>
      <c r="O11" s="45" t="n"/>
      <c r="P11" s="45" t="n"/>
      <c r="Q11" s="45" t="n"/>
      <c r="R11" s="45" t="n"/>
      <c r="S11" s="45" t="inlineStr">
        <is>
          <t>No</t>
        </is>
      </c>
      <c r="T11" s="45" t="n"/>
      <c r="U11" s="45" t="inlineStr">
        <is>
          <t>si</t>
        </is>
      </c>
      <c r="V11" s="88" t="n"/>
      <c r="W11" s="98" t="n"/>
      <c r="X11" s="89" t="n"/>
      <c r="Y11" s="90" t="n"/>
    </row>
    <row r="13" ht="27.95" customHeight="1" s="354">
      <c r="A13" s="50" t="inlineStr">
        <is>
          <t>Nombre
combinación unica</t>
        </is>
      </c>
      <c r="B13" s="50" t="inlineStr">
        <is>
          <t>Descripción</t>
        </is>
      </c>
      <c r="C13" s="50" t="inlineStr">
        <is>
          <t>Atributos
involucrados</t>
        </is>
      </c>
    </row>
    <row r="14" ht="33.95" customHeight="1" s="354">
      <c r="A14" s="331">
        <f>'M-Pagos'!H5</f>
        <v/>
      </c>
      <c r="B14" s="376">
        <f>'M-Pagos'!H4</f>
        <v/>
      </c>
      <c r="C14" s="49">
        <f>'M-Pagos'!A5</f>
        <v/>
      </c>
    </row>
    <row r="15" ht="17.1" customHeight="1" s="354">
      <c r="A15" s="362" t="n"/>
      <c r="B15" s="377" t="n"/>
      <c r="C15" s="49" t="n"/>
    </row>
    <row r="16" ht="15.75" customHeight="1" s="354"/>
    <row r="17" ht="15.75" customHeight="1" s="354">
      <c r="A17" s="255" t="inlineStr">
        <is>
          <t>Responsabilidad</t>
        </is>
      </c>
      <c r="B17" s="255" t="inlineStr">
        <is>
          <t>Descripción</t>
        </is>
      </c>
      <c r="C17" s="255" t="inlineStr">
        <is>
          <t>Entradas</t>
        </is>
      </c>
      <c r="D17" s="364" t="n"/>
      <c r="E17" s="360" t="n"/>
      <c r="F17" s="255" t="inlineStr">
        <is>
          <t>Salida</t>
        </is>
      </c>
      <c r="G17" s="360" t="n"/>
      <c r="H17" s="255" t="inlineStr">
        <is>
          <t>Políticas (Reglas de Negocio)</t>
        </is>
      </c>
      <c r="I17" s="360" t="n"/>
      <c r="J17" s="255" t="inlineStr">
        <is>
          <t xml:space="preserve">Excepción </t>
        </is>
      </c>
      <c r="K17" s="360" t="n"/>
    </row>
    <row r="18" ht="29.25" customHeight="1" s="354">
      <c r="A18" s="365" t="n"/>
      <c r="B18" s="365" t="n"/>
      <c r="C18" s="255" t="inlineStr">
        <is>
          <t>Parámettro</t>
        </is>
      </c>
      <c r="D18" s="255" t="inlineStr">
        <is>
          <t xml:space="preserve">Tipo de dato </t>
        </is>
      </c>
      <c r="E18" s="255" t="inlineStr">
        <is>
          <t>Descripci</t>
        </is>
      </c>
      <c r="F18" s="255" t="inlineStr">
        <is>
          <t>Tipo de Dato</t>
        </is>
      </c>
      <c r="G18" s="255" t="inlineStr">
        <is>
          <t>Descripción</t>
        </is>
      </c>
      <c r="H18" s="255" t="inlineStr">
        <is>
          <t>Política</t>
        </is>
      </c>
      <c r="I18" s="255" t="inlineStr">
        <is>
          <t>Descripción</t>
        </is>
      </c>
      <c r="J18" s="255" t="inlineStr">
        <is>
          <t>Detalle</t>
        </is>
      </c>
      <c r="K18" s="255" t="inlineStr">
        <is>
          <t>¿Qué hago?</t>
        </is>
      </c>
    </row>
    <row r="19" ht="138.75" customHeight="1" s="354">
      <c r="A19" s="261">
        <f>'E-Pagos'!B7</f>
        <v/>
      </c>
      <c r="B19" s="261">
        <f>'E-Pagos'!C7</f>
        <v/>
      </c>
      <c r="C19" s="256" t="inlineStr">
        <is>
          <t>pagoNuevo</t>
        </is>
      </c>
      <c r="D19" s="256" t="inlineStr">
        <is>
          <t>Pago</t>
        </is>
      </c>
      <c r="E19" s="257" t="inlineStr">
        <is>
          <t>Contiene la información inicial de la transacción a registrar.</t>
        </is>
      </c>
      <c r="F19" s="256" t="inlineStr">
        <is>
          <t>Logico</t>
        </is>
      </c>
      <c r="G19" s="256" t="inlineStr">
        <is>
          <t>Retorna verdadero si el intento de pago se registró correctamente.</t>
        </is>
      </c>
      <c r="H19" s="197">
        <f>'E-Pagos'!G7</f>
        <v/>
      </c>
      <c r="I19" s="198">
        <f>'E-Pagos'!H7</f>
        <v/>
      </c>
      <c r="J19" s="197" t="inlineStr">
        <is>
          <t>Generar excepción indicando qué campo no cumple con el formato o es obligatorio.</t>
        </is>
      </c>
      <c r="K19" s="197" t="inlineStr">
        <is>
          <t>Detener operación</t>
        </is>
      </c>
    </row>
    <row r="20" ht="113.25" customHeight="1" s="354">
      <c r="A20" s="366" t="n"/>
      <c r="B20" s="366" t="n"/>
      <c r="C20" s="366" t="n"/>
      <c r="D20" s="366" t="n"/>
      <c r="E20" s="366" t="n"/>
      <c r="F20" s="366" t="n"/>
      <c r="G20" s="366" t="n"/>
      <c r="H20" s="197">
        <f>'E-Pagos'!G8</f>
        <v/>
      </c>
      <c r="I20" s="198">
        <f>'E-Pagos'!H8</f>
        <v/>
      </c>
      <c r="J20" s="197" t="inlineStr">
        <is>
          <t>Generar excepción indicando que el monto de la transacción difiere del total del pedido.</t>
        </is>
      </c>
      <c r="K20" s="197" t="inlineStr">
        <is>
          <t>Detener operación</t>
        </is>
      </c>
    </row>
    <row r="21" ht="113.25" customHeight="1" s="354">
      <c r="A21" s="365" t="n"/>
      <c r="B21" s="365" t="n"/>
      <c r="C21" s="365" t="n"/>
      <c r="D21" s="365" t="n"/>
      <c r="E21" s="365" t="n"/>
      <c r="F21" s="365" t="n"/>
      <c r="G21" s="365" t="n"/>
      <c r="H21" s="197">
        <f>'E-Pagos'!G9</f>
        <v/>
      </c>
      <c r="I21" s="198">
        <f>'E-Pagos'!H9</f>
        <v/>
      </c>
      <c r="J21" s="197" t="inlineStr">
        <is>
          <t>Generar excepción indicando que el pago no puede iniciar en un estado distinto a Pendiente.</t>
        </is>
      </c>
      <c r="K21" s="197" t="inlineStr">
        <is>
          <t>Detener operación</t>
        </is>
      </c>
    </row>
    <row r="22" ht="123" customHeight="1" s="354">
      <c r="A22" s="346">
        <f>'E-Pagos'!B10</f>
        <v/>
      </c>
      <c r="B22" s="346">
        <f>'E-Pagos'!C10</f>
        <v/>
      </c>
      <c r="C22" s="346" t="inlineStr">
        <is>
          <t>pagoActualizado</t>
        </is>
      </c>
      <c r="D22" s="346" t="inlineStr">
        <is>
          <t>Pago</t>
        </is>
      </c>
      <c r="E22" s="346" t="inlineStr">
        <is>
          <t>Contiene el identificador del pago y el nuevo estado reportado por el banco.</t>
        </is>
      </c>
      <c r="F22" s="346" t="inlineStr">
        <is>
          <t>Logico</t>
        </is>
      </c>
      <c r="G22" s="346" t="inlineStr">
        <is>
          <t>Retorna verdadero si el estado del pago se actualizó exitosamente.</t>
        </is>
      </c>
      <c r="H22" s="346">
        <f>'E-Pagos'!G10</f>
        <v/>
      </c>
      <c r="I22" s="346">
        <f>'E-Pagos'!H10</f>
        <v/>
      </c>
      <c r="J22" s="346" t="inlineStr">
        <is>
          <t>Generar excepción indicando que el pago a actualizar no se encuentra registrado.</t>
        </is>
      </c>
      <c r="K22" s="346" t="inlineStr">
        <is>
          <t>Detener operación</t>
        </is>
      </c>
    </row>
    <row r="23" ht="184.5" customHeight="1" s="354">
      <c r="A23" s="365" t="n"/>
      <c r="B23" s="365" t="n"/>
      <c r="C23" s="365" t="n"/>
      <c r="D23" s="365" t="n"/>
      <c r="E23" s="365" t="n"/>
      <c r="F23" s="365" t="n"/>
      <c r="G23" s="365" t="n"/>
      <c r="H23" s="346">
        <f>'E-Pagos'!G11</f>
        <v/>
      </c>
      <c r="I23" s="346">
        <f>'E-Pagos'!H11</f>
        <v/>
      </c>
      <c r="J23" s="346" t="inlineStr">
        <is>
          <t>Generar excepción indicando que el pago ya finalizó su ciclo y su estado es inmutable.</t>
        </is>
      </c>
      <c r="K23" s="346" t="inlineStr">
        <is>
          <t>Detener operación</t>
        </is>
      </c>
    </row>
    <row r="24" ht="188.25" customHeight="1" s="354">
      <c r="A24" s="206">
        <f>'E-Pagos'!B12</f>
        <v/>
      </c>
      <c r="B24" s="206">
        <f>'E-Pagos'!C12</f>
        <v/>
      </c>
      <c r="C24" s="205" t="inlineStr">
        <is>
          <t>idPago</t>
        </is>
      </c>
      <c r="D24" s="205" t="inlineStr">
        <is>
          <t>alfanumerico</t>
        </is>
      </c>
      <c r="E24" s="205" t="inlineStr">
        <is>
          <t>Identificador exacto del pago que se desea reembolsar o anular.</t>
        </is>
      </c>
      <c r="F24" s="205" t="inlineStr">
        <is>
          <t>Logico</t>
        </is>
      </c>
      <c r="G24" s="205" t="inlineStr">
        <is>
          <t>Retorna verdadero si el reembolso se emitió y registró correctamente.</t>
        </is>
      </c>
      <c r="H24" s="259">
        <f>'E-Pagos'!G12</f>
        <v/>
      </c>
      <c r="I24" s="259">
        <f>'E-Pedido'!H13</f>
        <v/>
      </c>
      <c r="J24" s="259" t="inlineStr">
        <is>
          <t>Generar excepción indicando que no se puede reembolsar un pago que aún no ha sido aprobado por el banco.</t>
        </is>
      </c>
      <c r="K24" s="259" t="inlineStr">
        <is>
          <t>Detener operación</t>
        </is>
      </c>
    </row>
    <row r="25" ht="174" customHeight="1" s="354">
      <c r="A25" s="201">
        <f>'E-Pagos'!B13</f>
        <v/>
      </c>
      <c r="B25" s="201">
        <f>'E-Pagos'!C13</f>
        <v/>
      </c>
      <c r="C25" s="196" t="inlineStr">
        <is>
          <t>filtros</t>
        </is>
      </c>
      <c r="D25" s="191" t="inlineStr">
        <is>
          <t>Texto</t>
        </is>
      </c>
      <c r="E25" s="191" t="inlineStr">
        <is>
          <t>Parámetros opcionales para buscar o filtrar el historial de pagos.</t>
        </is>
      </c>
      <c r="F25" s="191" t="inlineStr">
        <is>
          <t>Lista&lt;Pago&gt;</t>
        </is>
      </c>
      <c r="G25" s="192" t="inlineStr">
        <is>
          <t>Retorna una colección con los objetos de los pagos encontrados.</t>
        </is>
      </c>
      <c r="H25" s="191">
        <f>'E-Pagos'!G13</f>
        <v/>
      </c>
      <c r="I25" s="191">
        <f>'E-Pagos'!H13</f>
        <v/>
      </c>
      <c r="J25" s="193" t="inlineStr">
        <is>
          <t>Generar excepción indicando acceso denegado por intentar visualizar datos financieros de otro usuario.</t>
        </is>
      </c>
      <c r="K25" s="193" t="inlineStr">
        <is>
          <t>Detener operación</t>
        </is>
      </c>
    </row>
    <row r="26" ht="15.75" customHeight="1" s="354"/>
  </sheetData>
  <mergeCells count="25">
    <mergeCell ref="B17:B18"/>
    <mergeCell ref="G1:J1"/>
    <mergeCell ref="A1:B1"/>
    <mergeCell ref="B14:B15"/>
    <mergeCell ref="C22:C23"/>
    <mergeCell ref="F22:F23"/>
    <mergeCell ref="A19:A21"/>
    <mergeCell ref="C19:C21"/>
    <mergeCell ref="C17:E17"/>
    <mergeCell ref="D19:D21"/>
    <mergeCell ref="F19:F21"/>
    <mergeCell ref="F17:G17"/>
    <mergeCell ref="A14:A15"/>
    <mergeCell ref="H17:I17"/>
    <mergeCell ref="A22:A23"/>
    <mergeCell ref="A17:A18"/>
    <mergeCell ref="D1:F1"/>
    <mergeCell ref="G22:G23"/>
    <mergeCell ref="B22:B23"/>
    <mergeCell ref="E22:E23"/>
    <mergeCell ref="E19:E21"/>
    <mergeCell ref="G19:G21"/>
    <mergeCell ref="B19:B21"/>
    <mergeCell ref="J17:K17"/>
    <mergeCell ref="D22:D23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22" location="RANGE!W4" display="Eliminar de forma definitiva la información de un nuevo País"/>
    <hyperlink ref="A24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3"/>
  <sheetViews>
    <sheetView topLeftCell="C9" workbookViewId="0">
      <selection activeCell="H13" sqref="H13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ListadoObjetosDominio!B14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ListadoObjetosDominio!C14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Cliente / Sistema</t>
        </is>
      </c>
      <c r="B7" s="266" t="inlineStr">
        <is>
          <t>Procesar pago (Iniciar)</t>
        </is>
      </c>
      <c r="C7" s="266" t="inlineStr">
        <is>
          <t>Enviar la información de cobro a la entidad financiera y registrar la transacción inicial.</t>
        </is>
      </c>
      <c r="D7" s="266">
        <f>ListadoObjetosDominio!B14</f>
        <v/>
      </c>
      <c r="E7" s="266" t="inlineStr">
        <is>
          <t>idPedido, metodoPago, monto, fechaPago, estado</t>
        </is>
      </c>
      <c r="F7" s="266" t="inlineStr">
        <is>
          <t>Formulario de checkout y pantalla de redirección al banco o pasarela.</t>
        </is>
      </c>
      <c r="G7" s="74" t="inlineStr">
        <is>
          <t>PAG-POL-01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 xml:space="preserve">Pasarela de Pagos </t>
        </is>
      </c>
      <c r="J7" s="266" t="inlineStr">
        <is>
          <t>Intento de pago registrado</t>
        </is>
      </c>
      <c r="K7" s="266" t="inlineStr">
        <is>
          <t>Riesgo de Cobro Doble: ¿Qué pasa si el cliente entra en pánico porque la página no carga y presiona el botón "Pagar" 3 veces seguidas?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PAG-POL-02</t>
        </is>
      </c>
      <c r="H8" s="74" t="inlineStr">
        <is>
          <t>El monto a cobrar debe coincidir exactamente con el "total compra" del idPedido asociado.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PAG-POL-03</t>
        </is>
      </c>
      <c r="H9" s="74" t="inlineStr">
        <is>
          <t>El estado inicial de la transacción debe ser obligatoriamente "Pendiente" o "En proceso".</t>
        </is>
      </c>
      <c r="I9" s="362" t="n"/>
      <c r="J9" s="362" t="n"/>
      <c r="K9" s="362" t="n"/>
    </row>
    <row r="10" ht="50.1" customHeight="1" s="354">
      <c r="A10" s="266" t="inlineStr">
        <is>
          <t>Sistema (Webhook) / Admin</t>
        </is>
      </c>
      <c r="B10" s="266" t="inlineStr">
        <is>
          <t>Actualizar estado de pago</t>
        </is>
      </c>
      <c r="C10" s="266" t="inlineStr">
        <is>
          <t>Recibir la confirmación asíncrona del banco (aprobado o rechazado) y actualizar el sistema.</t>
        </is>
      </c>
      <c r="D10" s="266">
        <f>ListadoObjetosDominio!B14</f>
        <v/>
      </c>
      <c r="E10" s="266" t="inlineStr">
        <is>
          <t>idPago, estado, codigoAutorizacion, fechaHora</t>
        </is>
      </c>
      <c r="F10" s="266" t="inlineStr">
        <is>
          <t>Endpoint del servidor que escucha la respuesta del banco o panel administrativo.</t>
        </is>
      </c>
      <c r="G10" s="74" t="inlineStr">
        <is>
          <t>PAG-POL-04</t>
        </is>
      </c>
      <c r="H10" s="74" t="inlineStr">
        <is>
          <t>El idPago a modificar debe existir previamente en el sistema.</t>
        </is>
      </c>
      <c r="I10" s="266" t="inlineStr">
        <is>
          <t>Pasarela de Pagos / Red Bancaria</t>
        </is>
      </c>
      <c r="J10" s="266" t="inlineStr">
        <is>
          <t>Estado de pago actualizado (Aprobado/Rechazado)</t>
        </is>
      </c>
      <c r="K10" s="266" t="inlineStr">
        <is>
          <t>Si el banco tarda 30 minutos en confirmar un pago por PSE, ¿el inventario del producto debe mantenerse bloqueado o se libera para otro cliente?</t>
        </is>
      </c>
    </row>
    <row r="11" ht="50.1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PAG-POL-05</t>
        </is>
      </c>
      <c r="H11" s="74" t="inlineStr">
        <is>
          <t>El estado solo puede cambiar a "Aprobado" o "Rechazado" si el estado actual era "Pendiente".</t>
        </is>
      </c>
      <c r="I11" s="362" t="n"/>
      <c r="J11" s="362" t="n"/>
      <c r="K11" s="362" t="n"/>
    </row>
    <row r="12" ht="57.75" customHeight="1" s="354">
      <c r="A12" s="74" t="inlineStr">
        <is>
          <t>Administrador</t>
        </is>
      </c>
      <c r="B12" s="74" t="inlineStr">
        <is>
          <t>Reembolsar pago</t>
        </is>
      </c>
      <c r="C12" s="74" t="inlineStr">
        <is>
          <t>Devolver el dinero al cliente tras la cancelación de un pedido o por aplicación de una garantía.</t>
        </is>
      </c>
      <c r="D12" s="74">
        <f>ListadoObjetosDominio!B14</f>
        <v/>
      </c>
      <c r="E12" s="74" t="inlineStr">
        <is>
          <t xml:space="preserve">	idPago, idPedido, monto, estado</t>
        </is>
      </c>
      <c r="F12" s="74" t="inlineStr">
        <is>
          <t>Botón de "Aplicar reembolso" en el detalle financiero de la orden.</t>
        </is>
      </c>
      <c r="G12" s="74" t="inlineStr">
        <is>
          <t>PAG-POL-06</t>
        </is>
      </c>
      <c r="H12" s="74" t="inlineStr">
        <is>
          <t>Solo se puede emitir un reembolso si el estado actual del pago es "Aprobado".</t>
        </is>
      </c>
      <c r="I12" s="74" t="inlineStr">
        <is>
          <t>Pasarela de Pagos (API Reembolsos)</t>
        </is>
      </c>
      <c r="J12" s="74" t="inlineStr">
        <is>
          <t>Pago reembolsado</t>
        </is>
      </c>
      <c r="K12" s="74" t="inlineStr">
        <is>
          <t>Reembolsos parciales: ¿El sistema soporta devolver solo una parte del dinero si el cliente devuelve 1 de los 3 productos que compró?</t>
        </is>
      </c>
    </row>
    <row r="13" ht="57.75" customHeight="1" s="354">
      <c r="A13" s="74" t="inlineStr">
        <is>
          <t>Cliente / Administrador</t>
        </is>
      </c>
      <c r="B13" s="74" t="inlineStr">
        <is>
          <t>Consultar pagos</t>
        </is>
      </c>
      <c r="C13" s="74" t="inlineStr">
        <is>
          <t>Revisar el comprobante, el método usado y el estado de la transacción para conciliación contable o soporte.</t>
        </is>
      </c>
      <c r="D13" s="74">
        <f>ListadoObjetosDominio!B14</f>
        <v/>
      </c>
      <c r="E13" s="74" t="inlineStr">
        <is>
          <t>idPago, idPedido, monto, metodo, estado, codigoAutorizacion, fechaHora</t>
        </is>
      </c>
      <c r="F13" s="74" t="inlineStr">
        <is>
          <t>Historial de transacciones en el perfil del cliente o reporte financiero del administrador.</t>
        </is>
      </c>
      <c r="G13" s="74" t="inlineStr">
        <is>
          <t>PAG-POL-07</t>
        </is>
      </c>
      <c r="H13" s="74" t="inlineStr">
        <is>
          <t>El cliente solo puede ver los pagos de sus propios pedidos; el administrador tiene visión global.</t>
        </is>
      </c>
      <c r="I13" s="74" t="n"/>
      <c r="J13" s="74" t="inlineStr">
        <is>
          <t>Pagos consultados</t>
        </is>
      </c>
      <c r="K13" s="74" t="inlineStr">
        <is>
          <t>Si la base de datos se vulnera, exponer métodos de pago o montos podría generar problemas de confidencialidad financiera.</t>
        </is>
      </c>
    </row>
  </sheetData>
  <mergeCells count="32">
    <mergeCell ref="J7:J9"/>
    <mergeCell ref="E5:F5"/>
    <mergeCell ref="C10:C11"/>
    <mergeCell ref="E10:E11"/>
    <mergeCell ref="E4:F4"/>
    <mergeCell ref="C7:C9"/>
    <mergeCell ref="E7:E9"/>
    <mergeCell ref="K7:K9"/>
    <mergeCell ref="B7:B9"/>
    <mergeCell ref="B10:B11"/>
    <mergeCell ref="B3:K3"/>
    <mergeCell ref="I5:I6"/>
    <mergeCell ref="A5:A6"/>
    <mergeCell ref="F7:F9"/>
    <mergeCell ref="G5:H5"/>
    <mergeCell ref="B2:K2"/>
    <mergeCell ref="A10:A11"/>
    <mergeCell ref="B5:B6"/>
    <mergeCell ref="I10:I11"/>
    <mergeCell ref="K10:K11"/>
    <mergeCell ref="D5:D6"/>
    <mergeCell ref="G4:H4"/>
    <mergeCell ref="K5:K6"/>
    <mergeCell ref="A7:A9"/>
    <mergeCell ref="D10:D11"/>
    <mergeCell ref="J5:J6"/>
    <mergeCell ref="I7:I9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="93" zoomScaleNormal="93" workbookViewId="0">
      <selection activeCell="B6" sqref="B6"/>
    </sheetView>
  </sheetViews>
  <sheetFormatPr baseColWidth="8" defaultColWidth="11" defaultRowHeight="15.95"/>
  <cols>
    <col width="41.625" customWidth="1" style="354" min="1" max="3"/>
    <col width="0.125" customWidth="1" style="354" min="4" max="5"/>
    <col hidden="1" width="41.5" customWidth="1" style="354" min="6" max="6"/>
    <col width="25.5" customWidth="1" style="354" min="7" max="7"/>
  </cols>
  <sheetData>
    <row r="1">
      <c r="A1" s="343" t="inlineStr">
        <is>
          <t>&lt;&lt; Ir al modelo de dominio</t>
        </is>
      </c>
      <c r="D1" s="343" t="n"/>
      <c r="E1" s="343" t="n"/>
      <c r="F1" s="343" t="n"/>
      <c r="G1" s="335" t="inlineStr">
        <is>
          <t>&lt;&lt; Ir al listado de objetos de dominio</t>
        </is>
      </c>
      <c r="I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ListadoObjetosDominio!B15</f>
        <v/>
      </c>
      <c r="D2" s="332" t="n"/>
      <c r="E2" s="332" t="n"/>
      <c r="F2" s="332" t="n"/>
      <c r="G2" s="58" t="n"/>
    </row>
    <row r="3">
      <c r="A3" s="21" t="inlineStr">
        <is>
          <t>Descripción</t>
        </is>
      </c>
      <c r="B3" s="228">
        <f>ListadoObjetosDominio!C15</f>
        <v/>
      </c>
    </row>
    <row r="4" ht="51" customHeight="1" s="354">
      <c r="A4" s="29" t="inlineStr">
        <is>
          <t>Identificador único universal (UUID) del método de pago.</t>
        </is>
      </c>
      <c r="B4" s="29" t="inlineStr">
        <is>
          <t>Nombre comercial del método de pago.</t>
        </is>
      </c>
      <c r="C4" s="29" t="inlineStr">
        <is>
          <t>Descripción del método de pago (opcional).</t>
        </is>
      </c>
      <c r="D4" t="inlineStr">
        <is>
          <t>Indica si el método de pago está activo (true) o inactivo (false).</t>
        </is>
      </c>
    </row>
    <row r="5">
      <c r="A5" s="22" t="inlineStr">
        <is>
          <t>id</t>
        </is>
      </c>
      <c r="B5" s="22" t="inlineStr">
        <is>
          <t>nombre</t>
        </is>
      </c>
      <c r="C5" s="24" t="inlineStr">
        <is>
          <t>descripcion</t>
        </is>
      </c>
      <c r="D5" t="inlineStr">
        <is>
          <t>estado</t>
        </is>
      </c>
    </row>
    <row r="6">
      <c r="A6" s="28" t="inlineStr">
        <is>
          <t>MP000000-1111-4222-8333-AAAAAA000001</t>
        </is>
      </c>
      <c r="B6" s="147" t="inlineStr">
        <is>
          <t>Tarjeta de crédito</t>
        </is>
      </c>
      <c r="C6" s="150" t="inlineStr">
        <is>
          <t>Visa, Mastercard, American Express.</t>
        </is>
      </c>
      <c r="D6" t="b">
        <v>1</v>
      </c>
    </row>
    <row r="7">
      <c r="A7" s="28" t="inlineStr">
        <is>
          <t>MP000000-1111-4222-8333-AAAAAA000002</t>
        </is>
      </c>
      <c r="B7" s="147" t="inlineStr">
        <is>
          <t>PSE</t>
        </is>
      </c>
      <c r="C7" s="150" t="inlineStr">
        <is>
          <t>Pago seguro en línea débito bancos colombianos.</t>
        </is>
      </c>
      <c r="D7" t="b">
        <v>1</v>
      </c>
    </row>
    <row r="8">
      <c r="A8" s="28" t="inlineStr">
        <is>
          <t>MP000000-1111-4222-8333-AAAAAA000003</t>
        </is>
      </c>
      <c r="B8" s="147" t="inlineStr">
        <is>
          <t>Nequi</t>
        </is>
      </c>
      <c r="C8" s="150" t="inlineStr">
        <is>
          <t>Billetera digital Bancolombia.</t>
        </is>
      </c>
      <c r="D8" t="b">
        <v>1</v>
      </c>
    </row>
    <row r="9">
      <c r="A9" s="28" t="inlineStr">
        <is>
          <t>MP000000-1111-4222-8333-AAAAAA000004</t>
        </is>
      </c>
      <c r="B9" s="147" t="inlineStr">
        <is>
          <t>Efectivo contraentrega</t>
        </is>
      </c>
      <c r="C9" s="150" t="inlineStr">
        <is>
          <t>Pago en efectivo al recibir el pedido.</t>
        </is>
      </c>
      <c r="D9" s="335" t="b">
        <v>1</v>
      </c>
    </row>
    <row r="10">
      <c r="A10" s="28" t="inlineStr">
        <is>
          <t>MP000000-1111-4222-8333-AAAAAA000005</t>
        </is>
      </c>
      <c r="B10" s="147" t="inlineStr">
        <is>
          <t>Daviplata</t>
        </is>
      </c>
      <c r="C10" s="150" t="inlineStr">
        <is>
          <t>Billetera digital Davivienda.</t>
        </is>
      </c>
      <c r="D10" t="b">
        <v>0</v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3:G3"/>
    <mergeCell ref="A19:G19"/>
    <mergeCell ref="B2:C2"/>
    <mergeCell ref="A17:G17"/>
    <mergeCell ref="A18:G18"/>
    <mergeCell ref="A1:C1"/>
    <mergeCell ref="I1:L1"/>
    <mergeCell ref="G1:H1"/>
    <mergeCell ref="A16:G16"/>
    <mergeCell ref="A15:G15"/>
  </mergeCells>
  <hyperlinks>
    <hyperlink ref="A1" location="'Modelo de dominio'!A1" display="&lt;&lt; Ir al modelo de dominio"/>
    <hyperlink ref="G1" location="ListadoObjetosDominio!A1" display="&lt;&lt; Ir al listado de objetos de dominio"/>
    <hyperlink ref="I1" location="'C-Departamento'!A1" display="&lt;&lt; Ir a la caracterización del objeto de dominio"/>
    <hyperlink ref="B6" location="'M-Pedido'!A6" display="PED-2026-001"/>
    <hyperlink ref="C6" location="'M-MetodoPago'!B6" display="'M-MetodoPago'!B6"/>
    <hyperlink ref="B7" location="'M-Pedido'!A6" display="PED-2026-001"/>
    <hyperlink ref="C7" location="'M-MetodoPago'!B7" display="'M-MetodoPago'!B7"/>
    <hyperlink ref="B8" location="'M-Pedido'!A6" display="PED-2026-001"/>
    <hyperlink ref="C8" location="'M-MetodoPago'!B8" display="'M-MetodoPago'!B8"/>
    <hyperlink ref="B9" location="'M-Pedido'!A6" display="PED-2026-001"/>
    <hyperlink ref="C9" location="'M-MetodoPago'!B9" display="'M-MetodoPago'!B9"/>
    <hyperlink ref="B10" location="'M-Pedido'!A6" display="PED-2026-001"/>
    <hyperlink ref="C10" location="'M-MetodoPago'!B10" display="'M-MetodoPago'!B10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9"/>
  <sheetViews>
    <sheetView topLeftCell="A15" zoomScale="75" workbookViewId="0">
      <selection activeCell="A12" sqref="A12:K19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'M-MetodoPago'!B2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'M-MetodoPago'!B3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'M-MetodoPago'!A5</f>
        <v/>
      </c>
      <c r="B5" s="52">
        <f>'M-MetodoPago'!A4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20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84" customHeight="1" s="354">
      <c r="A6" s="45">
        <f>'M-MetodoPago'!B5</f>
        <v/>
      </c>
      <c r="B6" s="45">
        <f>'M-MetodoPago'!B4</f>
        <v/>
      </c>
      <c r="C6" s="45" t="inlineStr">
        <is>
          <t>No</t>
        </is>
      </c>
      <c r="D6" s="45" t="inlineStr">
        <is>
          <t>Texto</t>
        </is>
      </c>
      <c r="E6" s="45" t="inlineStr">
        <is>
          <t>Si</t>
        </is>
      </c>
      <c r="F6" s="45" t="n">
        <v>3</v>
      </c>
      <c r="G6" s="45" t="n">
        <v>50</v>
      </c>
      <c r="H6" s="45" t="n"/>
      <c r="I6" s="45" t="n"/>
      <c r="J6" s="45" t="n"/>
      <c r="K6" s="45" t="n"/>
      <c r="L6" s="45" t="inlineStr">
        <is>
          <t>Capitalizado</t>
        </is>
      </c>
      <c r="M6" s="45" t="inlineStr">
        <is>
          <t>El nombre debe ser claro para el cliente en el checkout</t>
        </is>
      </c>
      <c r="N6" s="45" t="inlineStr">
        <is>
          <t>No</t>
        </is>
      </c>
      <c r="O6" s="45" t="inlineStr">
        <is>
          <t>No</t>
        </is>
      </c>
      <c r="P6" s="45" t="n"/>
      <c r="Q6" s="45" t="inlineStr">
        <is>
          <t>Si</t>
        </is>
      </c>
      <c r="R6" s="45" t="inlineStr">
        <is>
          <t>Si</t>
        </is>
      </c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8" ht="42" customHeight="1" s="354">
      <c r="A8" s="50" t="inlineStr">
        <is>
          <t>Nombre
combinación unica</t>
        </is>
      </c>
      <c r="B8" s="50" t="inlineStr">
        <is>
          <t>Descripción</t>
        </is>
      </c>
      <c r="C8" s="50" t="inlineStr">
        <is>
          <t>Atributos
involucrados</t>
        </is>
      </c>
    </row>
    <row r="9" ht="33.95" customHeight="1" s="354">
      <c r="A9" s="331">
        <f>'M-MetodoPago'!C5</f>
        <v/>
      </c>
      <c r="B9" s="376">
        <f>'M-MetodoPago'!C4</f>
        <v/>
      </c>
      <c r="C9" s="49">
        <f>'M-MetodoPago'!B5</f>
        <v/>
      </c>
    </row>
    <row r="10" ht="17.1" customHeight="1" s="354">
      <c r="A10" s="362" t="n"/>
      <c r="B10" s="377" t="n"/>
      <c r="C10" s="49" t="n"/>
    </row>
    <row r="11" ht="15.75" customHeight="1" s="354"/>
    <row r="12" ht="15.75" customHeight="1" s="354">
      <c r="A12" s="255" t="inlineStr">
        <is>
          <t>Responsabilidad</t>
        </is>
      </c>
      <c r="B12" s="255" t="inlineStr">
        <is>
          <t>Descripción</t>
        </is>
      </c>
      <c r="C12" s="255" t="inlineStr">
        <is>
          <t>Entradas</t>
        </is>
      </c>
      <c r="D12" s="364" t="n"/>
      <c r="E12" s="360" t="n"/>
      <c r="F12" s="255" t="inlineStr">
        <is>
          <t>Salida</t>
        </is>
      </c>
      <c r="G12" s="360" t="n"/>
      <c r="H12" s="255" t="inlineStr">
        <is>
          <t>Políticas (Reglas de Negocio)</t>
        </is>
      </c>
      <c r="I12" s="360" t="n"/>
      <c r="J12" s="255" t="inlineStr">
        <is>
          <t xml:space="preserve">Excepción </t>
        </is>
      </c>
      <c r="K12" s="360" t="n"/>
    </row>
    <row r="13" ht="29.25" customHeight="1" s="354">
      <c r="A13" s="365" t="n"/>
      <c r="B13" s="365" t="n"/>
      <c r="C13" s="255" t="inlineStr">
        <is>
          <t>Parámettro</t>
        </is>
      </c>
      <c r="D13" s="255" t="inlineStr">
        <is>
          <t xml:space="preserve">Tipo de dato </t>
        </is>
      </c>
      <c r="E13" s="255" t="inlineStr">
        <is>
          <t>Descripci</t>
        </is>
      </c>
      <c r="F13" s="255" t="inlineStr">
        <is>
          <t>Tipo de Dato</t>
        </is>
      </c>
      <c r="G13" s="255" t="inlineStr">
        <is>
          <t>Descripción</t>
        </is>
      </c>
      <c r="H13" s="255" t="inlineStr">
        <is>
          <t>Política</t>
        </is>
      </c>
      <c r="I13" s="255" t="inlineStr">
        <is>
          <t>Descripción</t>
        </is>
      </c>
      <c r="J13" s="255" t="inlineStr">
        <is>
          <t>Detalle</t>
        </is>
      </c>
      <c r="K13" s="255" t="inlineStr">
        <is>
          <t>¿Qué hago?</t>
        </is>
      </c>
    </row>
    <row r="14" ht="138.75" customHeight="1" s="354">
      <c r="A14" s="261">
        <f>'E-MetodoPago'!B7</f>
        <v/>
      </c>
      <c r="B14" s="261">
        <f>'E-MetodoPago'!C7</f>
        <v/>
      </c>
      <c r="C14" s="256" t="inlineStr">
        <is>
          <t>metodoNuevo</t>
        </is>
      </c>
      <c r="D14" s="256" t="inlineStr">
        <is>
          <t>MetodoPago</t>
        </is>
      </c>
      <c r="E14" s="257" t="inlineStr">
        <is>
          <t>Contiene la información del nuevo método de pago a registrar.</t>
        </is>
      </c>
      <c r="F14" s="256" t="inlineStr">
        <is>
          <t>Logico</t>
        </is>
      </c>
      <c r="G14" s="256" t="inlineStr">
        <is>
          <t>Retorna verdadero si el método se agregó exitosamente.</t>
        </is>
      </c>
      <c r="H14" s="197">
        <f>'E-MetodoPago'!G7</f>
        <v/>
      </c>
      <c r="I14" s="198">
        <f>'E-MetodoPago'!H7</f>
        <v/>
      </c>
      <c r="J14" s="197" t="inlineStr">
        <is>
          <t>Generar excepción indicando qué campo no cumple con el formato o es obligatorio.</t>
        </is>
      </c>
      <c r="K14" s="197" t="inlineStr">
        <is>
          <t>Detener operación</t>
        </is>
      </c>
    </row>
    <row r="15" ht="176.25" customHeight="1" s="354">
      <c r="A15" s="365" t="n"/>
      <c r="B15" s="365" t="n"/>
      <c r="C15" s="365" t="n"/>
      <c r="D15" s="365" t="n"/>
      <c r="E15" s="365" t="n"/>
      <c r="F15" s="365" t="n"/>
      <c r="G15" s="365" t="n"/>
      <c r="H15" s="197">
        <f>'E-MetodoPago'!G8</f>
        <v/>
      </c>
      <c r="I15" s="198">
        <f>'E-MetodoPago'!H8</f>
        <v/>
      </c>
      <c r="J15" s="197" t="inlineStr">
        <is>
          <t>Generar excepción indicando que ya existe un método de pago con ese mismo nombre.</t>
        </is>
      </c>
      <c r="K15" s="197" t="inlineStr">
        <is>
          <t>Detener operación</t>
        </is>
      </c>
    </row>
    <row r="16" ht="138.75" customHeight="1" s="354">
      <c r="A16" s="346">
        <f>'E-MetodoPago'!B9</f>
        <v/>
      </c>
      <c r="B16" s="346">
        <f>'E-MetodoPago'!C9</f>
        <v/>
      </c>
      <c r="C16" s="346" t="inlineStr">
        <is>
          <t>metodoModificado</t>
        </is>
      </c>
      <c r="D16" s="346" t="inlineStr">
        <is>
          <t>MetodoPago</t>
        </is>
      </c>
      <c r="E16" s="346" t="inlineStr">
        <is>
          <t>Contiene la información actualizada del método de pago.</t>
        </is>
      </c>
      <c r="F16" s="346" t="inlineStr">
        <is>
          <t>Logico</t>
        </is>
      </c>
      <c r="G16" s="346" t="inlineStr">
        <is>
          <t>Retorna verdadero si el método de pago se actualizó correctamente.</t>
        </is>
      </c>
      <c r="H16" s="346">
        <f>'E-MetodoPago'!G9</f>
        <v/>
      </c>
      <c r="I16" s="346">
        <f>'E-MetodoPago'!H9</f>
        <v/>
      </c>
      <c r="J16" s="346" t="inlineStr">
        <is>
          <t>Generar excepción indicando que el método de pago a editar no se encuentra registrado.</t>
        </is>
      </c>
      <c r="K16" s="346" t="inlineStr">
        <is>
          <t>Detener operación</t>
        </is>
      </c>
    </row>
    <row r="17" ht="184.5" customHeight="1" s="354">
      <c r="A17" s="365" t="n"/>
      <c r="B17" s="365" t="n"/>
      <c r="C17" s="365" t="n"/>
      <c r="D17" s="365" t="n"/>
      <c r="E17" s="365" t="n"/>
      <c r="F17" s="365" t="n"/>
      <c r="G17" s="365" t="n"/>
      <c r="H17" s="346">
        <f>'E-MetodoPago'!G10</f>
        <v/>
      </c>
      <c r="I17" s="346">
        <f>'E-MetodoPago'!H10</f>
        <v/>
      </c>
      <c r="J17" s="346" t="inlineStr">
        <is>
          <t>Generar excepción indicando que el nuevo nombre entra en conflicto con un método existente.</t>
        </is>
      </c>
      <c r="K17" s="346" t="inlineStr">
        <is>
          <t>Detener operación</t>
        </is>
      </c>
    </row>
    <row r="18" ht="101.25" customHeight="1" s="354">
      <c r="A18" s="206">
        <f>'E-MetodoPago'!B11</f>
        <v/>
      </c>
      <c r="B18" s="206">
        <f>'E-MetodoPago'!C11</f>
        <v/>
      </c>
      <c r="C18" s="205" t="inlineStr">
        <is>
          <t>idMetodoPago</t>
        </is>
      </c>
      <c r="D18" s="205" t="inlineStr">
        <is>
          <t>alfanumerico</t>
        </is>
      </c>
      <c r="E18" s="205" t="inlineStr">
        <is>
          <t>Identificador exacto del método de pago que se desea borrar.</t>
        </is>
      </c>
      <c r="F18" s="205" t="inlineStr">
        <is>
          <t>Logico</t>
        </is>
      </c>
      <c r="G18" s="205" t="inlineStr">
        <is>
          <t>Retorna verdadero si el método de pago fue eliminado correctamente.</t>
        </is>
      </c>
      <c r="H18" s="259">
        <f>'E-MetodoPago'!G11</f>
        <v/>
      </c>
      <c r="I18" s="259">
        <f>'E-MetodoPago'!H11</f>
        <v/>
      </c>
      <c r="J18" s="259" t="inlineStr">
        <is>
          <t>Generar excepción indicando que el método a eliminar no se encuentra en la base de datos.</t>
        </is>
      </c>
      <c r="K18" s="259" t="inlineStr">
        <is>
          <t>Detener operación</t>
        </is>
      </c>
    </row>
    <row r="19" ht="144.75" customHeight="1" s="354">
      <c r="A19" s="201">
        <f>'E-MetodoPago'!B12</f>
        <v/>
      </c>
      <c r="B19" s="201">
        <f>'E-MetodoPago'!C12</f>
        <v/>
      </c>
      <c r="C19" s="196" t="inlineStr">
        <is>
          <t>filtros</t>
        </is>
      </c>
      <c r="D19" s="191" t="inlineStr">
        <is>
          <t>Texto</t>
        </is>
      </c>
      <c r="E19" s="191" t="inlineStr">
        <is>
          <t>Parámetros opcionales para filtrar la búsqueda de métodos de pago.</t>
        </is>
      </c>
      <c r="F19" s="191" t="inlineStr">
        <is>
          <t>Lista&lt;MetodoPago&gt;</t>
        </is>
      </c>
      <c r="G19" s="192" t="inlineStr">
        <is>
          <t>Retorna una colección con los objetos de los métodos de pago encontrados.</t>
        </is>
      </c>
      <c r="H19" s="191">
        <f>'E-MetodoPago'!G12</f>
        <v/>
      </c>
      <c r="I19" s="191">
        <f>'E-MetodoPago'!H12</f>
        <v/>
      </c>
      <c r="J19" s="193" t="inlineStr">
        <is>
          <t>Generar excepción indicando acceso denegado por intentar visualizar métodos inactivos sin permisos.</t>
        </is>
      </c>
      <c r="K19" s="193" t="inlineStr">
        <is>
          <t>Detener operación</t>
        </is>
      </c>
    </row>
    <row r="20" ht="15.75" customHeight="1" s="354"/>
    <row r="21" ht="15.75" customHeight="1" s="354"/>
  </sheetData>
  <mergeCells count="25">
    <mergeCell ref="B12:B13"/>
    <mergeCell ref="A16:A17"/>
    <mergeCell ref="G1:J1"/>
    <mergeCell ref="A1:B1"/>
    <mergeCell ref="C16:C17"/>
    <mergeCell ref="C12:E12"/>
    <mergeCell ref="B14:B15"/>
    <mergeCell ref="F12:G12"/>
    <mergeCell ref="A12:A13"/>
    <mergeCell ref="D16:D17"/>
    <mergeCell ref="A14:A15"/>
    <mergeCell ref="G14:G15"/>
    <mergeCell ref="B9:B10"/>
    <mergeCell ref="E16:E17"/>
    <mergeCell ref="G16:G17"/>
    <mergeCell ref="D1:F1"/>
    <mergeCell ref="D14:D15"/>
    <mergeCell ref="F14:F15"/>
    <mergeCell ref="H12:I12"/>
    <mergeCell ref="J12:K12"/>
    <mergeCell ref="A9:A10"/>
    <mergeCell ref="B16:B17"/>
    <mergeCell ref="F16:F17"/>
    <mergeCell ref="C14:C15"/>
    <mergeCell ref="E14:E15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16" location="RANGE!W4" display="Eliminar de forma definitiva la información de un nuevo País"/>
    <hyperlink ref="A18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8" workbookViewId="0">
      <selection activeCell="H12" sqref="H12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ListadoObjetosDominio!B15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ListadoObjetosDominio!C15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43" t="inlineStr">
        <is>
          <t>Administrador</t>
        </is>
      </c>
      <c r="B7" s="243" t="inlineStr">
        <is>
          <t>Registrar método de pago</t>
        </is>
      </c>
      <c r="C7" s="243" t="inlineStr">
        <is>
          <t>Crear una nueva opción de pago para que quede disponible en el checkout de la tienda.</t>
        </is>
      </c>
      <c r="D7" s="243">
        <f>ListadoObjetosDominio!B15</f>
        <v/>
      </c>
      <c r="E7" s="243" t="inlineStr">
        <is>
          <t>nombre</t>
        </is>
      </c>
      <c r="F7" s="243" t="inlineStr">
        <is>
          <t>Formulario simple en el panel de configuración de la tienda.</t>
        </is>
      </c>
      <c r="G7" s="74" t="inlineStr">
        <is>
          <t>MET-POL-01</t>
        </is>
      </c>
      <c r="H7" s="74" t="inlineStr">
        <is>
          <t>Asegurar que los datos requeridos sean válidos a nivel de tipo de dato, formato, longitud y obligatoriedad.</t>
        </is>
      </c>
      <c r="I7" s="243" t="n"/>
      <c r="J7" s="243" t="inlineStr">
        <is>
          <t>Método de pago registrado</t>
        </is>
      </c>
      <c r="K7" s="243" t="inlineStr">
        <is>
          <t>Riesgo de habilitar un método que realmente no esté operativo en la pasarela o en el proceso interno de cobro.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MET-POL-02</t>
        </is>
      </c>
      <c r="H8" s="74" t="inlineStr">
        <is>
          <t>El nombre del método de pago no debe repetirse en el sistema.</t>
        </is>
      </c>
      <c r="I8" s="363" t="n"/>
      <c r="J8" s="363" t="n"/>
      <c r="K8" s="363" t="n"/>
    </row>
    <row r="9" ht="50.1" customHeight="1" s="354">
      <c r="A9" s="266" t="inlineStr">
        <is>
          <t>Administrador</t>
        </is>
      </c>
      <c r="B9" s="266" t="inlineStr">
        <is>
          <t>Modificar método de pago</t>
        </is>
      </c>
      <c r="C9" s="266" t="inlineStr">
        <is>
          <t>Actualizar la información de una opción de pago existente, como su nombre, descripción o disponibilidad.</t>
        </is>
      </c>
      <c r="D9" s="266">
        <f>ListadoObjetosDominio!B15</f>
        <v/>
      </c>
      <c r="E9" s="266" t="inlineStr">
        <is>
          <t>idMetodo, nombre</t>
        </is>
      </c>
      <c r="F9" s="266" t="inlineStr">
        <is>
          <t>Formulario pre-cargado con la información actual del método de pago.</t>
        </is>
      </c>
      <c r="G9" s="74" t="inlineStr">
        <is>
          <t>MET-POL-03</t>
        </is>
      </c>
      <c r="H9" s="74" t="inlineStr">
        <is>
          <t>El idMetodoPago a modificar debe existir previamente en el sistema.</t>
        </is>
      </c>
      <c r="I9" s="266" t="n"/>
      <c r="J9" s="266" t="inlineStr">
        <is>
          <t>Método de pago modificado</t>
        </is>
      </c>
      <c r="K9" s="266" t="inlineStr">
        <is>
          <t>Si se cambia un método usado históricamente, puede generarse confusión en reportes o conciliaciones antiguas.</t>
        </is>
      </c>
    </row>
    <row r="10" ht="50.1" customHeight="1" s="354">
      <c r="A10" s="362" t="n"/>
      <c r="B10" s="362" t="n"/>
      <c r="C10" s="362" t="n"/>
      <c r="D10" s="362" t="n"/>
      <c r="E10" s="362" t="n"/>
      <c r="F10" s="362" t="n"/>
      <c r="G10" s="74" t="inlineStr">
        <is>
          <t>MET-POL-04</t>
        </is>
      </c>
      <c r="H10" s="74" t="inlineStr">
        <is>
          <t>Si se cambia el nombre, el nuevo valor no debe coincidir con otro método ya registrado.</t>
        </is>
      </c>
      <c r="I10" s="362" t="n"/>
      <c r="J10" s="362" t="n"/>
      <c r="K10" s="362" t="n"/>
    </row>
    <row r="11" ht="50.1" customHeight="1" s="354">
      <c r="A11" s="243" t="inlineStr">
        <is>
          <t>Administrador</t>
        </is>
      </c>
      <c r="B11" s="243" t="inlineStr">
        <is>
          <t>Desactivar método de pago</t>
        </is>
      </c>
      <c r="C11" s="243" t="inlineStr">
        <is>
          <t>Inhabilitar una opción de cobro para que deje de aparecer en el checkout sin borrar su historial.</t>
        </is>
      </c>
      <c r="D11" s="243">
        <f>ListadoObjetosDominio!B15</f>
        <v/>
      </c>
      <c r="E11" s="243" t="inlineStr">
        <is>
          <t>idMetodo, nombre</t>
        </is>
      </c>
      <c r="F11" s="243" t="inlineStr">
        <is>
          <t>Vista de edición rápida en la configuración del administrador.</t>
        </is>
      </c>
      <c r="G11" s="74" t="inlineStr">
        <is>
          <t>MET-POL-05</t>
        </is>
      </c>
      <c r="H11" s="74" t="inlineStr">
        <is>
          <t>El idMetodoPago debe existir previamente en el sistema.</t>
        </is>
      </c>
      <c r="I11" s="243" t="n"/>
      <c r="J11" s="243" t="inlineStr">
        <is>
          <t>Método de pago desactivado</t>
        </is>
      </c>
      <c r="K11" s="243" t="inlineStr">
        <is>
          <t>Lo correcto es desactivar y no borrar, porque pagos históricos pueden seguir apuntando a ese método.</t>
        </is>
      </c>
    </row>
    <row r="12" ht="50.1" customHeight="1" s="354">
      <c r="A12" s="74" t="inlineStr">
        <is>
          <t>Cliente / Administrador</t>
        </is>
      </c>
      <c r="B12" s="74" t="inlineStr">
        <is>
          <t>Consultar métodos de pago</t>
        </is>
      </c>
      <c r="C12" s="74" t="inlineStr">
        <is>
          <t>Listar los métodos de pago disponibles para mostrarlos en el checkout o gestionarlos desde el panel administrativo.</t>
        </is>
      </c>
      <c r="D12" s="74">
        <f>ListadoObjetosDominio!B15</f>
        <v/>
      </c>
      <c r="E12" s="74" t="inlineStr">
        <is>
          <t>idMetodo, nombre</t>
        </is>
      </c>
      <c r="F12" s="74" t="inlineStr">
        <is>
          <t>Vista del catálogo de métodos habilitados para cobrar en la tienda.</t>
        </is>
      </c>
      <c r="G12" s="74" t="inlineStr">
        <is>
          <t>MET-POL-06</t>
        </is>
      </c>
      <c r="H12" s="74" t="inlineStr">
        <is>
          <t>El cliente solo debe visualizar métodos con estado "Activo"; el administrador puede ver todos.</t>
        </is>
      </c>
      <c r="I12" s="74" t="n"/>
      <c r="J12" s="74" t="inlineStr">
        <is>
          <t>Métodos de pago consultados</t>
        </is>
      </c>
      <c r="K12" s="74" t="inlineStr">
        <is>
          <t> </t>
        </is>
      </c>
    </row>
  </sheetData>
  <mergeCells count="32">
    <mergeCell ref="J9:J10"/>
    <mergeCell ref="E5:F5"/>
    <mergeCell ref="A7:A8"/>
    <mergeCell ref="I7:I8"/>
    <mergeCell ref="C9:C10"/>
    <mergeCell ref="E4:F4"/>
    <mergeCell ref="E9:E10"/>
    <mergeCell ref="D7:D8"/>
    <mergeCell ref="J7:J8"/>
    <mergeCell ref="B3:K3"/>
    <mergeCell ref="I5:I6"/>
    <mergeCell ref="A5:A6"/>
    <mergeCell ref="B9:B10"/>
    <mergeCell ref="D9:D10"/>
    <mergeCell ref="F9:F10"/>
    <mergeCell ref="C7:C8"/>
    <mergeCell ref="G5:H5"/>
    <mergeCell ref="E7:E8"/>
    <mergeCell ref="K7:K8"/>
    <mergeCell ref="B2:K2"/>
    <mergeCell ref="B5:B6"/>
    <mergeCell ref="D5:D6"/>
    <mergeCell ref="G4:H4"/>
    <mergeCell ref="K5:K6"/>
    <mergeCell ref="I9:I10"/>
    <mergeCell ref="J5:J6"/>
    <mergeCell ref="K9:K10"/>
    <mergeCell ref="A9:A10"/>
    <mergeCell ref="B7:B8"/>
    <mergeCell ref="F7:F8"/>
    <mergeCell ref="B4:C4"/>
    <mergeCell ref="C5:C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9"/>
  <sheetViews>
    <sheetView topLeftCell="B1" zoomScale="93" zoomScaleNormal="93" workbookViewId="0">
      <selection activeCell="A5" sqref="A5:G5"/>
    </sheetView>
  </sheetViews>
  <sheetFormatPr baseColWidth="8" defaultColWidth="11" defaultRowHeight="15.95"/>
  <cols>
    <col width="41.625" customWidth="1" style="354" min="1" max="8"/>
    <col width="25.5" customWidth="1" style="354" min="9" max="9"/>
  </cols>
  <sheetData>
    <row r="1">
      <c r="A1" s="343" t="inlineStr">
        <is>
          <t>&lt;&lt; Ir al modelo de dominio</t>
        </is>
      </c>
      <c r="I1" s="335" t="inlineStr">
        <is>
          <t>&lt;&lt; Ir al listado de objetos de dominio</t>
        </is>
      </c>
      <c r="K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ListadoObjetosDominio!B16</f>
        <v/>
      </c>
      <c r="I2" s="58" t="n"/>
    </row>
    <row r="3">
      <c r="A3" s="21" t="inlineStr">
        <is>
          <t>Descripción</t>
        </is>
      </c>
      <c r="B3" s="228">
        <f>ListadoObjetosDominio!C16</f>
        <v/>
      </c>
    </row>
    <row r="4" ht="51" customHeight="1" s="354">
      <c r="A4" s="29" t="inlineStr">
        <is>
          <t>Identificador interno autogenerado por el sistema</t>
        </is>
      </c>
      <c r="B4" s="29" t="inlineStr">
        <is>
          <t>Referencia al objeto de dominio “Pago” exitoso que originó esta factura (Llave foránea)</t>
        </is>
      </c>
      <c r="C4" s="29" t="inlineStr">
        <is>
          <t xml:space="preserve">Número de factura electrónica </t>
        </is>
      </c>
      <c r="D4" s="29" t="inlineStr">
        <is>
          <t>Fecha y hora de emisión del comprobante contable</t>
        </is>
      </c>
      <c r="E4" s="29" t="inlineStr">
        <is>
          <t>Valor base de la compra sin impuestos (COP)</t>
        </is>
      </c>
      <c r="F4" s="29" t="inlineStr">
        <is>
          <t>Valor correspondiente al IVA (19%) u otros tributos (COP)</t>
        </is>
      </c>
      <c r="G4" s="29" t="inlineStr">
        <is>
          <t>Valor total legalmente facturado al cliente (COP)</t>
        </is>
      </c>
      <c r="H4" s="29" t="inlineStr">
        <is>
          <t>Indica que cada intento de pago tiene un identificador único en el sistema, útil para trazabilidad y reclamos</t>
        </is>
      </c>
    </row>
    <row r="5">
      <c r="A5" s="22" t="inlineStr">
        <is>
          <t>idFactura</t>
        </is>
      </c>
      <c r="B5" s="22" t="inlineStr">
        <is>
          <t>idPago</t>
        </is>
      </c>
      <c r="C5" s="22" t="inlineStr">
        <is>
          <t>numeroFactura</t>
        </is>
      </c>
      <c r="D5" s="22" t="inlineStr">
        <is>
          <t>fechaEmision</t>
        </is>
      </c>
      <c r="E5" s="22" t="inlineStr">
        <is>
          <t>subtotal</t>
        </is>
      </c>
      <c r="F5" s="22" t="inlineStr">
        <is>
          <t>totalImpuestos</t>
        </is>
      </c>
      <c r="G5" s="22" t="inlineStr">
        <is>
          <t>totalFacturado</t>
        </is>
      </c>
      <c r="H5" s="24" t="inlineStr">
        <is>
          <t>Combinación única 1</t>
        </is>
      </c>
    </row>
    <row r="6">
      <c r="A6" s="28" t="inlineStr">
        <is>
          <t>FAC-001</t>
        </is>
      </c>
      <c r="B6" s="151" t="inlineStr">
        <is>
          <t>PAG-001</t>
        </is>
      </c>
      <c r="C6" s="151" t="inlineStr">
        <is>
          <t>FE-10020</t>
        </is>
      </c>
      <c r="D6" s="152" t="n">
        <v>46112</v>
      </c>
      <c r="E6" s="151" t="n">
        <v>12269</v>
      </c>
      <c r="F6" s="151">
        <f>E6*19%</f>
        <v/>
      </c>
      <c r="G6" s="151">
        <f>E6+F6</f>
        <v/>
      </c>
      <c r="H6" s="150">
        <f>B6</f>
        <v/>
      </c>
    </row>
    <row r="7">
      <c r="A7" s="28" t="inlineStr">
        <is>
          <t>FAC-002</t>
        </is>
      </c>
      <c r="B7" s="151" t="inlineStr">
        <is>
          <t>PAG-002</t>
        </is>
      </c>
      <c r="C7" s="151" t="inlineStr">
        <is>
          <t>FE-10021</t>
        </is>
      </c>
      <c r="D7" s="153" t="n">
        <v>46113</v>
      </c>
      <c r="E7" s="151" t="n">
        <v>12269</v>
      </c>
      <c r="F7" s="151">
        <f>E7*19%</f>
        <v/>
      </c>
      <c r="G7" s="151">
        <f>E7+F7</f>
        <v/>
      </c>
      <c r="H7" s="150">
        <f>B7</f>
        <v/>
      </c>
    </row>
    <row r="8">
      <c r="A8" s="28" t="inlineStr">
        <is>
          <t>FAC-003</t>
        </is>
      </c>
      <c r="B8" s="151" t="inlineStr">
        <is>
          <t>PAG-003</t>
        </is>
      </c>
      <c r="C8" s="151" t="inlineStr">
        <is>
          <t>FE-10022</t>
        </is>
      </c>
      <c r="D8" s="153" t="n">
        <v>46114</v>
      </c>
      <c r="E8" s="151" t="n">
        <v>12269</v>
      </c>
      <c r="F8" s="151">
        <f>E8*19%</f>
        <v/>
      </c>
      <c r="G8" s="151">
        <f>E8+F8</f>
        <v/>
      </c>
      <c r="H8" s="150">
        <f>B8</f>
        <v/>
      </c>
    </row>
    <row r="9">
      <c r="A9" s="28" t="inlineStr">
        <is>
          <t>FAC-004</t>
        </is>
      </c>
      <c r="B9" s="151" t="inlineStr">
        <is>
          <t>PAG-004</t>
        </is>
      </c>
      <c r="C9" s="151" t="inlineStr">
        <is>
          <t>FE-10023</t>
        </is>
      </c>
      <c r="D9" s="153" t="n">
        <v>46115</v>
      </c>
      <c r="E9" s="151" t="n">
        <v>12269</v>
      </c>
      <c r="F9" s="151">
        <f>E9*19%</f>
        <v/>
      </c>
      <c r="G9" s="151">
        <f>E9+F9</f>
        <v/>
      </c>
      <c r="H9" s="150">
        <f>B9</f>
        <v/>
      </c>
    </row>
    <row r="10">
      <c r="A10" s="28" t="inlineStr">
        <is>
          <t>FAC-005</t>
        </is>
      </c>
      <c r="B10" s="151" t="inlineStr">
        <is>
          <t>PAG-005</t>
        </is>
      </c>
      <c r="C10" s="151" t="inlineStr">
        <is>
          <t>FE-10024</t>
        </is>
      </c>
      <c r="D10" s="153" t="n">
        <v>46116</v>
      </c>
      <c r="E10" s="151" t="n">
        <v>12269</v>
      </c>
      <c r="F10" s="151">
        <f>E10*19%</f>
        <v/>
      </c>
      <c r="G10" s="151">
        <f>E10+F10</f>
        <v/>
      </c>
      <c r="H10" s="150">
        <f>B10</f>
        <v/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325" t="n"/>
      <c r="H13" s="325" t="n"/>
      <c r="I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31" t="n"/>
      <c r="H14" s="31" t="n"/>
      <c r="I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A15:I15"/>
    <mergeCell ref="A19:I19"/>
    <mergeCell ref="A17:I17"/>
    <mergeCell ref="A18:I18"/>
    <mergeCell ref="B2:H2"/>
    <mergeCell ref="B3:I3"/>
    <mergeCell ref="A1:H1"/>
    <mergeCell ref="K1:N1"/>
    <mergeCell ref="I1:J1"/>
    <mergeCell ref="A16:I16"/>
  </mergeCells>
  <hyperlinks>
    <hyperlink ref="A1" location="'Modelo de dominio'!A1" display="&lt;&lt; Ir al modelo de dominio"/>
    <hyperlink ref="I1" location="ListadoObjetosDominio!A1" display="&lt;&lt; Ir al listado de objetos de dominio"/>
    <hyperlink ref="K1" location="'C-Departamento'!A1" display="&lt;&lt; Ir a la caracterización del objeto de dominio"/>
    <hyperlink ref="B6" location="'M-Pedido'!A6" display="PED-2026-001"/>
    <hyperlink ref="H6" location="'M-MetodoPago'!B6" display="'M-MetodoPago'!B6"/>
    <hyperlink ref="B7" location="'M-Pedido'!A6" display="PED-2026-001"/>
    <hyperlink ref="H7" location="'M-MetodoPago'!B7" display="'M-MetodoPago'!B7"/>
    <hyperlink ref="B8" location="'M-Pedido'!A6" display="PED-2026-001"/>
    <hyperlink ref="H8" location="'M-MetodoPago'!B8" display="'M-MetodoPago'!B8"/>
    <hyperlink ref="B9" location="'M-Pedido'!A6" display="PED-2026-001"/>
    <hyperlink ref="H9" location="'M-MetodoPago'!B9" display="'M-MetodoPago'!B9"/>
    <hyperlink ref="B10" location="'M-Pedido'!A6" display="PED-2026-001"/>
    <hyperlink ref="H10" location="'M-MetodoPago'!B10" display="'M-MetodoPago'!B10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A11" zoomScale="75" workbookViewId="0">
      <selection activeCell="N23" sqref="N23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8"/>
    <col width="24" customWidth="1" style="354" min="9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'M-Factura'!B2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'M-Factura'!B3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'M-Factura'!A5</f>
        <v/>
      </c>
      <c r="B5" s="52">
        <f>'M-Factura'!A4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30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126" customHeight="1" s="354">
      <c r="A6" s="45">
        <f>'M-Factura'!B5</f>
        <v/>
      </c>
      <c r="B6" s="45">
        <f>'M-Factura'!B4</f>
        <v/>
      </c>
      <c r="C6" s="45" t="inlineStr">
        <is>
          <t>No</t>
        </is>
      </c>
      <c r="D6" s="45" t="inlineStr">
        <is>
          <t>&lt;Pago&gt;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pago referenciado debe estar en estado 'Aprobado' obligatoriamente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26" customHeight="1" s="354">
      <c r="A7" s="45">
        <f>'M-Factura'!C5</f>
        <v/>
      </c>
      <c r="B7" s="45">
        <f>'M-Factura'!C4</f>
        <v/>
      </c>
      <c r="C7" s="45" t="inlineStr">
        <is>
          <t>No</t>
        </is>
      </c>
      <c r="D7" s="45" t="inlineStr">
        <is>
          <t>alfanumerico</t>
        </is>
      </c>
      <c r="E7" s="45" t="inlineStr">
        <is>
          <t>Si</t>
        </is>
      </c>
      <c r="F7" s="45" t="n">
        <v>5</v>
      </c>
      <c r="G7" s="45" t="n">
        <v>50</v>
      </c>
      <c r="H7" s="45" t="n"/>
      <c r="I7" s="45" t="n"/>
      <c r="J7" s="45" t="n"/>
      <c r="K7" s="45" t="n"/>
      <c r="L7" s="45" t="inlineStr">
        <is>
          <t>Mayusculas</t>
        </is>
      </c>
      <c r="M7" s="45" t="inlineStr">
        <is>
          <t xml:space="preserve">Debe cumplir con la resolución de facturación electrónica 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Si</t>
        </is>
      </c>
      <c r="T7" s="45" t="n"/>
      <c r="U7" s="45" t="inlineStr">
        <is>
          <t>Si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126" customHeight="1" s="354">
      <c r="A8" s="45">
        <f>'M-Factura'!D5</f>
        <v/>
      </c>
      <c r="B8" s="45">
        <f>'M-Factura'!D4</f>
        <v/>
      </c>
      <c r="C8" s="45" t="inlineStr">
        <is>
          <t>No</t>
        </is>
      </c>
      <c r="D8" s="45" t="inlineStr">
        <is>
          <t>Fecha/Hora</t>
        </is>
      </c>
      <c r="E8" s="45" t="inlineStr">
        <is>
          <t>Si</t>
        </is>
      </c>
      <c r="F8" s="45" t="n"/>
      <c r="G8" s="45" t="n"/>
      <c r="H8" s="45" t="n"/>
      <c r="I8" s="45" t="n"/>
      <c r="J8" s="45" t="n"/>
      <c r="K8" s="45" t="n"/>
      <c r="L8" s="45" t="n"/>
      <c r="M8" s="45" t="inlineStr">
        <is>
          <t>Registra la marca de tiempo exacta de la generación del comprobante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/>
      <c r="U8" s="45" t="inlineStr">
        <is>
          <t>Si</t>
        </is>
      </c>
      <c r="V8" s="88" t="n"/>
      <c r="W8" s="98" t="n"/>
      <c r="X8" s="89" t="n"/>
      <c r="Y8" s="90" t="n"/>
    </row>
    <row r="9" ht="56.1" customHeight="1" s="354">
      <c r="A9" s="45">
        <f>'M-Factura'!E5</f>
        <v/>
      </c>
      <c r="B9" s="45">
        <f>'M-Factura'!E4</f>
        <v/>
      </c>
      <c r="C9" s="45" t="inlineStr">
        <is>
          <t>No</t>
        </is>
      </c>
      <c r="D9" s="45" t="inlineStr">
        <is>
          <t>Numerico decimal</t>
        </is>
      </c>
      <c r="E9" s="45" t="inlineStr">
        <is>
          <t>Si</t>
        </is>
      </c>
      <c r="F9" s="45" t="n"/>
      <c r="G9" s="45" t="n"/>
      <c r="H9" s="45" t="n">
        <v>2</v>
      </c>
      <c r="I9" s="45" t="inlineStr">
        <is>
          <t>Truncamiento</t>
        </is>
      </c>
      <c r="J9" s="45" t="n">
        <v>0</v>
      </c>
      <c r="K9" s="45" t="n">
        <v>99999</v>
      </c>
      <c r="L9" s="45" t="n"/>
      <c r="M9" s="45" t="inlineStr">
        <is>
          <t>Base imponible sin impuestos</t>
        </is>
      </c>
      <c r="N9" s="45" t="inlineStr">
        <is>
          <t>Si</t>
        </is>
      </c>
      <c r="O9" s="45" t="n"/>
      <c r="P9" s="45" t="n"/>
      <c r="Q9" s="45" t="n"/>
      <c r="R9" s="45" t="n"/>
      <c r="S9" s="45" t="inlineStr">
        <is>
          <t>No</t>
        </is>
      </c>
      <c r="T9" s="45" t="n"/>
      <c r="U9" s="45" t="inlineStr">
        <is>
          <t>No</t>
        </is>
      </c>
      <c r="V9" s="88" t="n"/>
      <c r="W9" s="98" t="n"/>
      <c r="X9" s="89" t="n"/>
      <c r="Y9" s="90" t="n"/>
    </row>
    <row r="10" ht="126" customHeight="1" s="354">
      <c r="A10" s="45">
        <f>'M-Factura'!F5</f>
        <v/>
      </c>
      <c r="B10" s="45">
        <f>'M-Factura'!F4</f>
        <v/>
      </c>
      <c r="C10" s="45" t="inlineStr">
        <is>
          <t>No</t>
        </is>
      </c>
      <c r="D10" s="45" t="inlineStr">
        <is>
          <t>Numerico decimal</t>
        </is>
      </c>
      <c r="E10" s="45" t="inlineStr">
        <is>
          <t>Si</t>
        </is>
      </c>
      <c r="F10" s="45" t="n"/>
      <c r="G10" s="45" t="n"/>
      <c r="H10" s="45" t="n">
        <v>2</v>
      </c>
      <c r="I10" s="45" t="inlineStr">
        <is>
          <t>Truncamiento</t>
        </is>
      </c>
      <c r="J10" s="45" t="n">
        <v>0</v>
      </c>
      <c r="K10" s="45" t="n">
        <v>99999</v>
      </c>
      <c r="L10" s="45" t="n"/>
      <c r="M10" s="45" t="inlineStr">
        <is>
          <t>Se calcula aplicando la tarifa vigente de IVA (19%) sobre el subtotal</t>
        </is>
      </c>
      <c r="N10" s="45" t="inlineStr">
        <is>
          <t>Si</t>
        </is>
      </c>
      <c r="O10" s="45" t="n"/>
      <c r="P10" s="45" t="n"/>
      <c r="Q10" s="45" t="n"/>
      <c r="R10" s="45" t="n"/>
      <c r="S10" s="45" t="inlineStr">
        <is>
          <t>No</t>
        </is>
      </c>
      <c r="T10" s="45" t="n"/>
      <c r="U10" s="45" t="inlineStr">
        <is>
          <t>No</t>
        </is>
      </c>
      <c r="V10" s="88" t="n"/>
      <c r="W10" s="98" t="n"/>
      <c r="X10" s="89" t="n"/>
      <c r="Y10" s="90" t="n"/>
    </row>
    <row r="11" ht="140.1" customHeight="1" s="354">
      <c r="A11" s="45">
        <f>'M-Factura'!G5</f>
        <v/>
      </c>
      <c r="B11" s="45">
        <f>'M-Factura'!G4</f>
        <v/>
      </c>
      <c r="C11" s="45" t="inlineStr">
        <is>
          <t>No</t>
        </is>
      </c>
      <c r="D11" s="45" t="inlineStr">
        <is>
          <t>Numerico decimal</t>
        </is>
      </c>
      <c r="E11" s="45" t="inlineStr">
        <is>
          <t>Si</t>
        </is>
      </c>
      <c r="F11" s="45" t="n"/>
      <c r="G11" s="45" t="n"/>
      <c r="H11" s="45" t="n">
        <v>2</v>
      </c>
      <c r="I11" s="45" t="inlineStr">
        <is>
          <t>Truncamiento</t>
        </is>
      </c>
      <c r="J11" s="45" t="n">
        <v>0</v>
      </c>
      <c r="K11" s="45" t="n">
        <v>99999</v>
      </c>
      <c r="L11" s="45" t="n"/>
      <c r="M11" s="45" t="inlineStr">
        <is>
          <t>Es la suma matemática estricta del subtotal más el total de impuestos	Si</t>
        </is>
      </c>
      <c r="N11" s="45" t="inlineStr">
        <is>
          <t>Si</t>
        </is>
      </c>
      <c r="O11" s="45" t="n"/>
      <c r="P11" s="45" t="n"/>
      <c r="Q11" s="45" t="n"/>
      <c r="R11" s="45" t="n"/>
      <c r="S11" s="45" t="inlineStr">
        <is>
          <t>No</t>
        </is>
      </c>
      <c r="T11" s="45" t="n"/>
      <c r="U11" s="45" t="inlineStr">
        <is>
          <t>No</t>
        </is>
      </c>
      <c r="V11" s="88" t="n"/>
      <c r="W11" s="98" t="n"/>
      <c r="X11" s="89" t="n"/>
      <c r="Y11" s="90" t="n"/>
    </row>
    <row r="13" ht="42" customHeight="1" s="354">
      <c r="A13" s="50" t="inlineStr">
        <is>
          <t>Nombre
combinación unica</t>
        </is>
      </c>
      <c r="B13" s="50" t="inlineStr">
        <is>
          <t>Descripción</t>
        </is>
      </c>
      <c r="C13" s="50" t="inlineStr">
        <is>
          <t>Atributos
involucrados</t>
        </is>
      </c>
    </row>
    <row r="14" ht="33.95" customHeight="1" s="354">
      <c r="A14" s="331">
        <f>'M-Factura'!H5</f>
        <v/>
      </c>
      <c r="B14" s="376">
        <f>'M-Factura'!H4</f>
        <v/>
      </c>
      <c r="C14" s="383">
        <f>'M-Factura'!B5</f>
        <v/>
      </c>
    </row>
    <row r="15" ht="17.1" customHeight="1" s="354">
      <c r="A15" s="362" t="n"/>
      <c r="B15" s="377" t="n"/>
      <c r="C15" s="362" t="n"/>
    </row>
    <row r="16" ht="15.75" customHeight="1" s="354"/>
    <row r="17" ht="15.75" customHeight="1" s="354">
      <c r="A17" s="255" t="inlineStr">
        <is>
          <t>Responsabilidad</t>
        </is>
      </c>
      <c r="B17" s="255" t="inlineStr">
        <is>
          <t>Descripción</t>
        </is>
      </c>
      <c r="C17" s="255" t="inlineStr">
        <is>
          <t>Entradas</t>
        </is>
      </c>
      <c r="D17" s="364" t="n"/>
      <c r="E17" s="360" t="n"/>
      <c r="F17" s="255" t="inlineStr">
        <is>
          <t>Salida</t>
        </is>
      </c>
      <c r="G17" s="360" t="n"/>
      <c r="H17" s="255" t="inlineStr">
        <is>
          <t>Políticas (Reglas de Negocio)</t>
        </is>
      </c>
      <c r="I17" s="360" t="n"/>
      <c r="J17" s="255" t="inlineStr">
        <is>
          <t xml:space="preserve">Excepción </t>
        </is>
      </c>
      <c r="K17" s="360" t="n"/>
    </row>
    <row r="18" ht="29.25" customHeight="1" s="354">
      <c r="A18" s="365" t="n"/>
      <c r="B18" s="365" t="n"/>
      <c r="C18" s="255" t="inlineStr">
        <is>
          <t>Parámettro</t>
        </is>
      </c>
      <c r="D18" s="255" t="inlineStr">
        <is>
          <t xml:space="preserve">Tipo de dato </t>
        </is>
      </c>
      <c r="E18" s="255" t="inlineStr">
        <is>
          <t>Descripci</t>
        </is>
      </c>
      <c r="F18" s="255" t="inlineStr">
        <is>
          <t>Tipo de Dato</t>
        </is>
      </c>
      <c r="G18" s="255" t="inlineStr">
        <is>
          <t>Descripción</t>
        </is>
      </c>
      <c r="H18" s="255" t="inlineStr">
        <is>
          <t>Política</t>
        </is>
      </c>
      <c r="I18" s="255" t="inlineStr">
        <is>
          <t>Descripción</t>
        </is>
      </c>
      <c r="J18" s="255" t="inlineStr">
        <is>
          <t>Detalle</t>
        </is>
      </c>
      <c r="K18" s="255" t="inlineStr">
        <is>
          <t>¿Qué hago?</t>
        </is>
      </c>
    </row>
    <row r="19" ht="57.75" customHeight="1" s="354">
      <c r="A19" s="261">
        <f>'E-Factura'!B7</f>
        <v/>
      </c>
      <c r="B19" s="261">
        <f>'E-Factura'!C7</f>
        <v/>
      </c>
      <c r="C19" s="256" t="inlineStr">
        <is>
          <t>facturaNueva</t>
        </is>
      </c>
      <c r="D19" s="256" t="inlineStr">
        <is>
          <t>Factura</t>
        </is>
      </c>
      <c r="E19" s="257" t="inlineStr">
        <is>
          <t>Contiene la información de la factura que se va a emitir.</t>
        </is>
      </c>
      <c r="F19" s="256" t="inlineStr">
        <is>
          <t>Logico</t>
        </is>
      </c>
      <c r="G19" s="256" t="inlineStr">
        <is>
          <t>Retorna verdadero si la factura fue generada exitosamente.</t>
        </is>
      </c>
      <c r="H19" s="197">
        <f>'E-Factura'!G7</f>
        <v/>
      </c>
      <c r="I19" s="198">
        <f>'E-Factura'!H7</f>
        <v/>
      </c>
      <c r="J19" s="197" t="inlineStr">
        <is>
          <t>Generar excepción indicando qué campo no cumple con el formato o es obligatorio.</t>
        </is>
      </c>
      <c r="K19" s="197" t="inlineStr">
        <is>
          <t>Detener operación</t>
        </is>
      </c>
    </row>
    <row r="20" ht="57.75" customHeight="1" s="354">
      <c r="A20" s="366" t="n"/>
      <c r="B20" s="366" t="n"/>
      <c r="C20" s="366" t="n"/>
      <c r="D20" s="366" t="n"/>
      <c r="E20" s="366" t="n"/>
      <c r="F20" s="366" t="n"/>
      <c r="G20" s="366" t="n"/>
      <c r="H20" s="197">
        <f>'E-Factura'!G8</f>
        <v/>
      </c>
      <c r="I20" s="198">
        <f>'E-Factura'!H8</f>
        <v/>
      </c>
      <c r="J20" s="197" t="inlineStr">
        <is>
          <t>Generar excepción indicando que el pago no existe o aún no ha sido aprobado.</t>
        </is>
      </c>
      <c r="K20" s="197" t="inlineStr">
        <is>
          <t>Detener operación</t>
        </is>
      </c>
    </row>
    <row r="21" ht="72.75" customHeight="1" s="354">
      <c r="A21" s="365" t="n"/>
      <c r="B21" s="365" t="n"/>
      <c r="C21" s="365" t="n"/>
      <c r="D21" s="365" t="n"/>
      <c r="E21" s="365" t="n"/>
      <c r="F21" s="365" t="n"/>
      <c r="G21" s="365" t="n"/>
      <c r="H21" s="197">
        <f>'E-Factura'!G9</f>
        <v/>
      </c>
      <c r="I21" s="198">
        <f>'E-Factura'!H9</f>
        <v/>
      </c>
      <c r="J21" s="197" t="inlineStr">
        <is>
          <t>Generar excepción indicando que la sumatoria de los montos no coincide con el total.</t>
        </is>
      </c>
      <c r="K21" s="197" t="inlineStr">
        <is>
          <t>Detener operación</t>
        </is>
      </c>
    </row>
    <row r="22" ht="77.25" customHeight="1" s="354">
      <c r="A22" s="346">
        <f>'E-Factura'!B10</f>
        <v/>
      </c>
      <c r="B22" s="346">
        <f>'E-Factura'!C10</f>
        <v/>
      </c>
      <c r="C22" s="346" t="inlineStr">
        <is>
          <t>idFactura</t>
        </is>
      </c>
      <c r="D22" s="346" t="inlineStr">
        <is>
          <t>alfanumerico</t>
        </is>
      </c>
      <c r="E22" s="346" t="inlineStr">
        <is>
          <t>Identificador exacto de la factura que se desea anular.</t>
        </is>
      </c>
      <c r="F22" s="346" t="inlineStr">
        <is>
          <t>Logico</t>
        </is>
      </c>
      <c r="G22" s="346" t="inlineStr">
        <is>
          <t>Retorna verdadero si la factura se anuló correctamente y se generó la nota crédito.</t>
        </is>
      </c>
      <c r="H22" s="346">
        <f>'E-Factura'!G10</f>
        <v/>
      </c>
      <c r="I22" s="346">
        <f>'E-Factura'!H10</f>
        <v/>
      </c>
      <c r="J22" s="346" t="inlineStr">
        <is>
          <t>Generar excepción indicando que la factura que se intenta anular no existe en la base de datos.</t>
        </is>
      </c>
      <c r="K22" s="346" t="inlineStr">
        <is>
          <t>Detener operación</t>
        </is>
      </c>
    </row>
    <row r="23" ht="92.25" customHeight="1" s="354">
      <c r="A23" s="365" t="n"/>
      <c r="B23" s="365" t="n"/>
      <c r="C23" s="365" t="n"/>
      <c r="D23" s="365" t="n"/>
      <c r="E23" s="365" t="n"/>
      <c r="F23" s="365" t="n"/>
      <c r="G23" s="365" t="n"/>
      <c r="H23" s="346">
        <f>'E-Factura'!G11</f>
        <v/>
      </c>
      <c r="I23" s="346">
        <f>'E-Factura'!H11</f>
        <v/>
      </c>
      <c r="J23" s="346" t="inlineStr">
        <is>
          <t>Generar excepción indicando que no se puede alterar o borrar el registro original de la factura.</t>
        </is>
      </c>
      <c r="K23" s="346" t="inlineStr">
        <is>
          <t>Detener operación</t>
        </is>
      </c>
    </row>
    <row r="24" ht="72.75" customHeight="1" s="354">
      <c r="A24" s="204">
        <f>'E-Factura'!B12</f>
        <v/>
      </c>
      <c r="B24" s="204">
        <f>'E-Factura'!C12</f>
        <v/>
      </c>
      <c r="C24" s="203" t="inlineStr">
        <is>
          <t>filtros</t>
        </is>
      </c>
      <c r="D24" s="203" t="inlineStr">
        <is>
          <t>Texto</t>
        </is>
      </c>
      <c r="E24" s="203" t="inlineStr">
        <is>
          <t>Parámetros opcionales para buscar o filtrar el historial de facturas.</t>
        </is>
      </c>
      <c r="F24" s="203" t="inlineStr">
        <is>
          <t>Lista&lt;Factura&gt;</t>
        </is>
      </c>
      <c r="G24" s="203" t="inlineStr">
        <is>
          <t>Retorna una colección con los objetos de las facturas encontradas.</t>
        </is>
      </c>
      <c r="H24" s="259">
        <f>'E-Factura'!G12</f>
        <v/>
      </c>
      <c r="I24" s="259">
        <f>'E-Factura'!H12</f>
        <v/>
      </c>
      <c r="J24" s="259" t="inlineStr">
        <is>
          <t>Generar excepción indicando acceso denegado por intentar visualizar facturas de otro usuario.</t>
        </is>
      </c>
      <c r="K24" s="259" t="inlineStr">
        <is>
          <t>Detener operación</t>
        </is>
      </c>
    </row>
    <row r="25" ht="15.75" customHeight="1" s="354"/>
    <row r="26" ht="15.75" customHeight="1" s="354"/>
    <row r="27" ht="15.75" customHeight="1" s="354"/>
    <row r="28" ht="15.75" customHeight="1" s="354"/>
  </sheetData>
  <mergeCells count="26">
    <mergeCell ref="B17:B18"/>
    <mergeCell ref="G1:J1"/>
    <mergeCell ref="A1:B1"/>
    <mergeCell ref="B14:B15"/>
    <mergeCell ref="C22:C23"/>
    <mergeCell ref="F22:F23"/>
    <mergeCell ref="A19:A21"/>
    <mergeCell ref="C19:C21"/>
    <mergeCell ref="C17:E17"/>
    <mergeCell ref="D19:D21"/>
    <mergeCell ref="F19:F21"/>
    <mergeCell ref="F17:G17"/>
    <mergeCell ref="A14:A15"/>
    <mergeCell ref="H17:I17"/>
    <mergeCell ref="A22:A23"/>
    <mergeCell ref="A17:A18"/>
    <mergeCell ref="D1:F1"/>
    <mergeCell ref="G22:G23"/>
    <mergeCell ref="B22:B23"/>
    <mergeCell ref="E22:E23"/>
    <mergeCell ref="E19:E21"/>
    <mergeCell ref="G19:G21"/>
    <mergeCell ref="B19:B21"/>
    <mergeCell ref="C14:C15"/>
    <mergeCell ref="J17:K17"/>
    <mergeCell ref="D22:D23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A22" location="RANGE!W4" display="Eliminar de forma definitiva la información de un nuevo País"/>
    <hyperlink ref="A24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8" workbookViewId="0">
      <selection activeCell="H12" sqref="H12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41.625" bestFit="1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ListadoObjetosDominio!B16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ListadoObjetosDominio!C16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Sistema / Administrador</t>
        </is>
      </c>
      <c r="B7" s="266" t="inlineStr">
        <is>
          <t>Generar factura</t>
        </is>
      </c>
      <c r="C7" s="266" t="inlineStr">
        <is>
          <t>Crear el comprobante legal y fiscal de la venta una vez que el pago ha sido aprobado exitosamente.</t>
        </is>
      </c>
      <c r="D7" s="266">
        <f>ListadoObjetosDominio!B16</f>
        <v/>
      </c>
      <c r="E7" s="266" t="inlineStr">
        <is>
          <t>idPago, numeroFactura, fechaEmision, subtotal, totalImpuestos, totalFacturado</t>
        </is>
      </c>
      <c r="F7" s="266" t="inlineStr">
        <is>
          <t>Registro oficial que desglosa el costo de los productos y los impuestos aplicados a la compra.</t>
        </is>
      </c>
      <c r="G7" s="74" t="inlineStr">
        <is>
          <t>FAC-POL-01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>Proveedor de Facturación Electrónica</t>
        </is>
      </c>
      <c r="J7" s="266" t="inlineStr">
        <is>
          <t>Factura generada</t>
        </is>
      </c>
      <c r="K7" s="266" t="inlineStr">
        <is>
          <t>Riesgo de fallo de conexión con el proveedor tecnológico al intentar timbrar la factura electrónica.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FAC-POL-02</t>
        </is>
      </c>
      <c r="H8" s="74" t="inlineStr">
        <is>
          <t>El idPago asociado debe existir y su estado debe ser obligatoriamente "Aprobado".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FAC-POL-03</t>
        </is>
      </c>
      <c r="H9" s="74" t="inlineStr">
        <is>
          <t>El totalFacturado debe ser la suma matemática exacta del subtotal más el totalImpuestos. calculados.</t>
        </is>
      </c>
      <c r="I9" s="362" t="n"/>
      <c r="J9" s="362" t="n"/>
      <c r="K9" s="362" t="n"/>
    </row>
    <row r="10" ht="50.1" customHeight="1" s="354">
      <c r="A10" s="266" t="inlineStr">
        <is>
          <t>Administrador</t>
        </is>
      </c>
      <c r="B10" s="266" t="inlineStr">
        <is>
          <t>Anular factura (Nota de Crédito)</t>
        </is>
      </c>
      <c r="C10" s="266" t="inlineStr">
        <is>
          <t>Invalidar una factura previamente emitida por motivo de devolución de mercancía o error en los datos.</t>
        </is>
      </c>
      <c r="D10" s="266">
        <f>ListadoObjetosDominio!B16</f>
        <v/>
      </c>
      <c r="E10" s="266" t="inlineStr">
        <is>
          <t>idFactura, numeroFactura, totalFacturado</t>
        </is>
      </c>
      <c r="F10" s="266" t="inlineStr">
        <is>
          <t>Panel contable de reversiones y garantías en el administrador del e-commerce.</t>
        </is>
      </c>
      <c r="G10" s="74" t="inlineStr">
        <is>
          <t>FAC-POL-04</t>
        </is>
      </c>
      <c r="H10" s="74" t="inlineStr">
        <is>
          <t>El idFactura a anular debe existir previamente en el sistema.</t>
        </is>
      </c>
      <c r="I10" s="266" t="inlineStr">
        <is>
          <t xml:space="preserve">Proveedor de Facturación Electrónica </t>
        </is>
      </c>
      <c r="J10" s="266" t="inlineStr">
        <is>
          <t>Factura anulada</t>
        </is>
      </c>
      <c r="K10" s="266" t="inlineStr">
        <is>
          <t>Si un administrador anula una factura de un periodo fiscal (mes o año) que ya fue cerrado por contabilidad, se crea un descuadre legal.</t>
        </is>
      </c>
    </row>
    <row r="11" ht="57.75" customHeight="1" s="354">
      <c r="A11" s="362" t="n"/>
      <c r="B11" s="362" t="n"/>
      <c r="C11" s="362" t="n"/>
      <c r="D11" s="362" t="n"/>
      <c r="E11" s="362" t="n"/>
      <c r="F11" s="362" t="n"/>
      <c r="G11" s="74" t="inlineStr">
        <is>
          <t>FAC-POL-05</t>
        </is>
      </c>
      <c r="H11" s="74" t="inlineStr">
        <is>
          <t>El sistema no modifica la factura original (es inmutable), sino que debe registrar su estado como "Anulada" y generar una Nota de Crédito.</t>
        </is>
      </c>
      <c r="I11" s="362" t="n"/>
      <c r="J11" s="362" t="n"/>
      <c r="K11" s="362" t="n"/>
    </row>
    <row r="12" ht="50.1" customHeight="1" s="354">
      <c r="A12" s="74" t="inlineStr">
        <is>
          <t>Cliente / Administrador</t>
        </is>
      </c>
      <c r="B12" s="74" t="inlineStr">
        <is>
          <t>Consultar y descargar factura</t>
        </is>
      </c>
      <c r="C12" s="74" t="inlineStr">
        <is>
          <t>Permitir al usuario ver el detalle fiscal de su compra o descargar la representación gráfica (PDF).</t>
        </is>
      </c>
      <c r="D12" s="74">
        <f>ListadoObjetosDominio!B16</f>
        <v/>
      </c>
      <c r="E12" s="74" t="inlineStr">
        <is>
          <t>idFactura, idPago, numeroFactura, fechaEmision, subtotal, totalImpuestos, totalFacturado</t>
        </is>
      </c>
      <c r="F12" s="74" t="inlineStr">
        <is>
          <t>Vista detallada del recibo o enlace para descargar la versión en PDF o XML.</t>
        </is>
      </c>
      <c r="G12" s="74" t="inlineStr">
        <is>
          <t>FAC-POL-06</t>
        </is>
      </c>
      <c r="H12" s="74" t="inlineStr">
        <is>
          <t>El cliente solo puede consultar y descargar las facturas asociadas a sus propios pedidos.</t>
        </is>
      </c>
      <c r="I12" s="74" t="inlineStr">
        <is>
          <t>Sistema de Almacenamiento</t>
        </is>
      </c>
      <c r="J12" s="74" t="inlineStr">
        <is>
          <t>Facturas consultadas</t>
        </is>
      </c>
      <c r="K12" s="74" t="inlineStr">
        <is>
          <t>Riesgo de rendimiento y almacenamiento si el sistema genera y guarda los PDFs de todas las facturas en lugar de generarlos "al vuelo" cuando el cliente los pide.</t>
        </is>
      </c>
    </row>
  </sheetData>
  <mergeCells count="32">
    <mergeCell ref="J7:J9"/>
    <mergeCell ref="E5:F5"/>
    <mergeCell ref="C10:C11"/>
    <mergeCell ref="E10:E11"/>
    <mergeCell ref="E4:F4"/>
    <mergeCell ref="C7:C9"/>
    <mergeCell ref="E7:E9"/>
    <mergeCell ref="K7:K9"/>
    <mergeCell ref="B7:B9"/>
    <mergeCell ref="B10:B11"/>
    <mergeCell ref="B3:K3"/>
    <mergeCell ref="I5:I6"/>
    <mergeCell ref="A5:A6"/>
    <mergeCell ref="F7:F9"/>
    <mergeCell ref="G5:H5"/>
    <mergeCell ref="B2:K2"/>
    <mergeCell ref="A10:A11"/>
    <mergeCell ref="B5:B6"/>
    <mergeCell ref="I10:I11"/>
    <mergeCell ref="K10:K11"/>
    <mergeCell ref="D5:D6"/>
    <mergeCell ref="G4:H4"/>
    <mergeCell ref="K5:K6"/>
    <mergeCell ref="A7:A9"/>
    <mergeCell ref="D10:D11"/>
    <mergeCell ref="J5:J6"/>
    <mergeCell ref="I7:I9"/>
    <mergeCell ref="J10:J11"/>
    <mergeCell ref="D7:D9"/>
    <mergeCell ref="F10:F11"/>
    <mergeCell ref="B4:C4"/>
    <mergeCell ref="C5:C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="93" zoomScaleNormal="93" workbookViewId="0">
      <selection activeCell="B20" sqref="B20"/>
    </sheetView>
  </sheetViews>
  <sheetFormatPr baseColWidth="8" defaultColWidth="11" defaultRowHeight="15.95"/>
  <cols>
    <col width="41.625" customWidth="1" style="354" min="1" max="6"/>
    <col width="25.5" customWidth="1" style="354" min="7" max="7"/>
  </cols>
  <sheetData>
    <row r="1">
      <c r="A1" s="343" t="inlineStr">
        <is>
          <t>&lt;&lt; Ir al modelo de dominio</t>
        </is>
      </c>
      <c r="G1" s="335" t="inlineStr">
        <is>
          <t>&lt;&lt; Ir al listado de objetos de dominio</t>
        </is>
      </c>
      <c r="I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ListadoObjetosDominio!B17</f>
        <v/>
      </c>
      <c r="G2" s="58" t="n"/>
    </row>
    <row r="3">
      <c r="A3" s="21" t="inlineStr">
        <is>
          <t>Descripción</t>
        </is>
      </c>
      <c r="B3" s="228">
        <f>ListadoObjetosDominio!C17</f>
        <v/>
      </c>
    </row>
    <row r="4" ht="51" customHeight="1" s="354">
      <c r="A4" s="29" t="inlineStr">
        <is>
          <t>Identificador único universal (UUID) del envío.</t>
        </is>
      </c>
      <c r="B4" s="29" t="inlineStr">
        <is>
          <t>Referencia al pedido al que pertenece el envío.</t>
        </is>
      </c>
      <c r="C4" s="29" t="inlineStr">
        <is>
          <t>Nombre de la empresa transportadora encargada del envío.</t>
        </is>
      </c>
      <c r="D4" s="29" t="inlineStr">
        <is>
          <t>Número de guía proporcionado por la transportadora.</t>
        </is>
      </c>
      <c r="E4" s="29" t="inlineStr">
        <is>
          <t>Fecha en que se despachó el envío (LocalDate).</t>
        </is>
      </c>
      <c r="F4" s="29" t="inlineStr">
        <is>
          <t>Fecha estimada o real de entrega del envío (LocalDate, opcional).</t>
        </is>
      </c>
      <c r="G4" s="166" t="inlineStr">
        <is>
          <t>Estado del envío (PREPARANDO, EN_TRANSITO, ENTREGADO, DEVUELTO, EXTRAVIADO).</t>
        </is>
      </c>
    </row>
    <row r="5">
      <c r="A5" s="22" t="inlineStr">
        <is>
          <t>id</t>
        </is>
      </c>
      <c r="B5" s="22" t="inlineStr">
        <is>
          <t>pedido</t>
        </is>
      </c>
      <c r="C5" s="22" t="inlineStr">
        <is>
          <t>transportadora</t>
        </is>
      </c>
      <c r="D5" s="22" t="inlineStr">
        <is>
          <t>numeroGuia</t>
        </is>
      </c>
      <c r="E5" s="22" t="inlineStr">
        <is>
          <t>fechaEnvio</t>
        </is>
      </c>
      <c r="F5" s="24" t="inlineStr">
        <is>
          <t>fechaEntrega</t>
        </is>
      </c>
      <c r="G5" s="167" t="inlineStr">
        <is>
          <t>estado</t>
        </is>
      </c>
    </row>
    <row r="6">
      <c r="A6" s="28" t="inlineStr">
        <is>
          <t>EN000000-1111-4222-8333-CCCCCC000001</t>
        </is>
      </c>
      <c r="B6" s="156" t="inlineStr">
        <is>
          <t>PED12345-A1B2-4C3D-8E4F-000000000002</t>
        </is>
      </c>
      <c r="C6" s="151" t="inlineStr">
        <is>
          <t>Servientrega</t>
        </is>
      </c>
      <c r="D6" s="151" t="inlineStr">
        <is>
          <t>SERV-30012345678</t>
        </is>
      </c>
      <c r="E6" s="152" t="inlineStr">
        <is>
          <t>2026-05-17</t>
        </is>
      </c>
      <c r="F6" s="155" t="inlineStr">
        <is>
          <t>2026-05-19</t>
        </is>
      </c>
      <c r="G6" s="154" t="inlineStr">
        <is>
          <t>EN_TRANSITO</t>
        </is>
      </c>
    </row>
    <row r="7">
      <c r="A7" s="28" t="inlineStr">
        <is>
          <t>EN000000-1111-4222-8333-CCCCCC000002</t>
        </is>
      </c>
      <c r="B7" s="156" t="inlineStr">
        <is>
          <t>PED12345-A1B2-4C3D-8E4F-000000000003</t>
        </is>
      </c>
      <c r="C7" s="151" t="inlineStr">
        <is>
          <t>Coordinadora</t>
        </is>
      </c>
      <c r="D7" s="151" t="inlineStr">
        <is>
          <t>COOR-21456789012</t>
        </is>
      </c>
      <c r="E7" s="152" t="inlineStr">
        <is>
          <t>2026-05-18</t>
        </is>
      </c>
      <c r="F7" s="155" t="inlineStr"/>
      <c r="G7" s="154" t="inlineStr">
        <is>
          <t>PREPARANDO</t>
        </is>
      </c>
    </row>
    <row r="8">
      <c r="A8" s="28" t="inlineStr">
        <is>
          <t>EN000000-1111-4222-8333-CCCCCC000003</t>
        </is>
      </c>
      <c r="B8" s="156" t="inlineStr">
        <is>
          <t>PED12345-A1B2-4C3D-8E4F-000000000004</t>
        </is>
      </c>
      <c r="C8" s="151" t="inlineStr">
        <is>
          <t>Inter Rapídisimo</t>
        </is>
      </c>
      <c r="D8" s="151" t="inlineStr">
        <is>
          <t>INTE-70009876543</t>
        </is>
      </c>
      <c r="E8" s="152" t="inlineStr">
        <is>
          <t>2026-05-19</t>
        </is>
      </c>
      <c r="F8" s="155" t="inlineStr">
        <is>
          <t>2026-05-20</t>
        </is>
      </c>
      <c r="G8" s="154" t="inlineStr">
        <is>
          <t>ENTREGADO</t>
        </is>
      </c>
    </row>
    <row r="9">
      <c r="A9" s="28" t="inlineStr">
        <is>
          <t>EN000000-1111-4222-8333-CCCCCC000004</t>
        </is>
      </c>
      <c r="B9" s="156" t="inlineStr">
        <is>
          <t>PED12345-A1B2-4C3D-8E4F-000000000005</t>
        </is>
      </c>
      <c r="C9" s="151" t="inlineStr">
        <is>
          <t>TCC</t>
        </is>
      </c>
      <c r="D9" s="151" t="inlineStr">
        <is>
          <t>TCC-54321987654</t>
        </is>
      </c>
      <c r="E9" s="152" t="inlineStr">
        <is>
          <t>2026-05-19</t>
        </is>
      </c>
      <c r="F9" s="155" t="inlineStr"/>
      <c r="G9" s="154" t="inlineStr">
        <is>
          <t>EN_TRANSITO</t>
        </is>
      </c>
    </row>
    <row r="10">
      <c r="A10" s="28" t="inlineStr">
        <is>
          <t>EN000000-1111-4222-8333-CCCCCC000005</t>
        </is>
      </c>
      <c r="B10" s="156" t="inlineStr">
        <is>
          <t>PED12345-A1B2-4C3D-8E4F-000000000001</t>
        </is>
      </c>
      <c r="C10" s="151" t="inlineStr">
        <is>
          <t>Envia</t>
        </is>
      </c>
      <c r="D10" s="151" t="inlineStr">
        <is>
          <t>ENVI-09876543210</t>
        </is>
      </c>
      <c r="E10" s="152" t="inlineStr">
        <is>
          <t>2026-05-20</t>
        </is>
      </c>
      <c r="F10" s="155" t="inlineStr"/>
      <c r="G10" s="154" t="inlineStr">
        <is>
          <t>PREPARANDO</t>
        </is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3:G3"/>
    <mergeCell ref="A17:G17"/>
    <mergeCell ref="A18:G18"/>
    <mergeCell ref="I1:L1"/>
    <mergeCell ref="B2:F2"/>
    <mergeCell ref="G1:H1"/>
    <mergeCell ref="A1:F1"/>
    <mergeCell ref="A16:G16"/>
    <mergeCell ref="A15:G15"/>
    <mergeCell ref="A19:G19"/>
  </mergeCells>
  <hyperlinks>
    <hyperlink ref="A1" location="'Modelo de dominio'!A1" display="&lt;&lt; Ir al modelo de dominio"/>
    <hyperlink ref="G1" location="ListadoObjetosDominio!A1" display="&lt;&lt; Ir al listado de objetos de dominio"/>
    <hyperlink ref="I1" location="'C-Departamento'!A1" display="&lt;&lt; Ir a la caracterización del objeto de dominio"/>
    <hyperlink ref="B6" location="'M-Pedido'!A9" display="'M-Pedido'!A9"/>
    <hyperlink ref="F6" location="'M-MetodoPago'!B6" display="'M-MetodoPago'!B6"/>
    <hyperlink ref="B7" location="'M-Pedido'!A10" display="'M-Pedido'!A10"/>
    <hyperlink ref="F7" location="'M-MetodoPago'!B6" display="'M-MetodoPago'!B6"/>
    <hyperlink ref="B8" location="'M-Pedido'!A6" display="PED-2026-001"/>
    <hyperlink ref="F8" location="'M-MetodoPago'!B6" display="'M-MetodoPago'!B6"/>
    <hyperlink ref="B9" location="'M-Pedido'!A6" display="PED-2026-001"/>
    <hyperlink ref="F9" location="'M-MetodoPago'!B6" display="'M-MetodoPago'!B6"/>
    <hyperlink ref="B10" location="'M-Pedido'!A6" display="PED-2026-001"/>
    <hyperlink ref="F10" location="'M-MetodoPago'!B6" display="'M-MetodoPago'!B6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0"/>
  <sheetViews>
    <sheetView topLeftCell="B15" zoomScale="75" workbookViewId="0">
      <selection activeCell="M19" sqref="M19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'M-Envio'!B2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'M-Envio'!B3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27.95" customHeight="1" s="354">
      <c r="A5" s="45">
        <f>'M-Envio'!A5</f>
        <v/>
      </c>
      <c r="B5" s="52">
        <f>'M-Envio'!A4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30</v>
      </c>
      <c r="H5" s="45" t="n"/>
      <c r="I5" s="45" t="n"/>
      <c r="J5" s="45" t="n"/>
      <c r="K5" s="45" t="n"/>
      <c r="L5" s="45" t="inlineStr">
        <is>
          <t>Mayusculas</t>
        </is>
      </c>
      <c r="M5" s="45" t="n"/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140.1" customHeight="1" s="354">
      <c r="A6" s="45">
        <f>'M-Envio'!B5</f>
        <v/>
      </c>
      <c r="B6" s="45">
        <f>'M-Envio'!B4</f>
        <v/>
      </c>
      <c r="C6" s="45" t="inlineStr">
        <is>
          <t>No</t>
        </is>
      </c>
      <c r="D6" s="165" t="inlineStr">
        <is>
          <t>&lt;Pedido&gt;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pedido maestro debe existir y estar Pagado para poder despacharse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26" customHeight="1" s="354">
      <c r="A7" s="45">
        <f>'M-Envio'!C5</f>
        <v/>
      </c>
      <c r="B7" s="45">
        <f>'M-Envio'!C4</f>
        <v/>
      </c>
      <c r="C7" s="45" t="inlineStr">
        <is>
          <t>No</t>
        </is>
      </c>
      <c r="D7" s="45" t="inlineStr">
        <is>
          <t>Texto</t>
        </is>
      </c>
      <c r="E7" s="45" t="inlineStr">
        <is>
          <t>Si</t>
        </is>
      </c>
      <c r="F7" s="45" t="n">
        <v>3</v>
      </c>
      <c r="G7" s="45" t="n">
        <v>50</v>
      </c>
      <c r="H7" s="45" t="n"/>
      <c r="I7" s="45" t="n"/>
      <c r="J7" s="45" t="n"/>
      <c r="K7" s="45" t="n"/>
      <c r="L7" s="45" t="inlineStr">
        <is>
          <t>Capitalizado</t>
        </is>
      </c>
      <c r="M7" s="45" t="inlineStr">
        <is>
          <t>Debe corresponder a una empresa logística aliada (Servientrega, TCC, etc.)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84" customHeight="1" s="354">
      <c r="A8" s="45">
        <f>'M-Envio'!D5</f>
        <v/>
      </c>
      <c r="B8" s="45">
        <f>'M-Envio'!D4</f>
        <v/>
      </c>
      <c r="C8" s="45" t="inlineStr">
        <is>
          <t>No</t>
        </is>
      </c>
      <c r="D8" s="45" t="inlineStr">
        <is>
          <t>Alfanumérico</t>
        </is>
      </c>
      <c r="E8" s="45" t="inlineStr">
        <is>
          <t>Si</t>
        </is>
      </c>
      <c r="F8" s="45" t="n">
        <v>3</v>
      </c>
      <c r="G8" s="45" t="n">
        <v>50</v>
      </c>
      <c r="H8" s="45" t="n"/>
      <c r="I8" s="45" t="n"/>
      <c r="J8" s="45" t="n"/>
      <c r="K8" s="45" t="n"/>
      <c r="L8" s="45" t="inlineStr">
        <is>
          <t>Mayusculas</t>
        </is>
      </c>
      <c r="M8" s="45" t="inlineStr">
        <is>
          <t>No debe contener espacios en blanco intermedios</t>
        </is>
      </c>
      <c r="N8" s="45" t="inlineStr">
        <is>
          <t>No</t>
        </is>
      </c>
      <c r="O8" s="45" t="inlineStr">
        <is>
          <t>No</t>
        </is>
      </c>
      <c r="P8" s="45" t="n"/>
      <c r="Q8" s="45" t="inlineStr">
        <is>
          <t>Si</t>
        </is>
      </c>
      <c r="R8" s="45" t="inlineStr">
        <is>
          <t>Si</t>
        </is>
      </c>
      <c r="S8" s="45" t="inlineStr">
        <is>
          <t>No</t>
        </is>
      </c>
      <c r="T8" s="45" t="n"/>
      <c r="U8" s="45" t="inlineStr">
        <is>
          <t>No</t>
        </is>
      </c>
      <c r="V8" s="88" t="n"/>
      <c r="W8" s="98" t="n"/>
      <c r="X8" s="89" t="n"/>
      <c r="Y8" s="90" t="n"/>
    </row>
    <row r="9" ht="111.95" customHeight="1" s="354">
      <c r="A9" s="45">
        <f>'M-Envio'!E5</f>
        <v/>
      </c>
      <c r="B9" s="45">
        <f>'M-Envio'!E4</f>
        <v/>
      </c>
      <c r="C9" s="45" t="inlineStr">
        <is>
          <t>No</t>
        </is>
      </c>
      <c r="D9" s="45" t="inlineStr">
        <is>
          <t>Fecha/Hora</t>
        </is>
      </c>
      <c r="E9" s="45" t="inlineStr">
        <is>
          <t>Si</t>
        </is>
      </c>
      <c r="F9" s="45" t="n"/>
      <c r="G9" s="45" t="n"/>
      <c r="H9" s="45" t="n"/>
      <c r="I9" s="45" t="n"/>
      <c r="J9" s="45" t="n"/>
      <c r="K9" s="45" t="n"/>
      <c r="L9" s="45" t="n"/>
      <c r="M9" s="45" t="inlineStr">
        <is>
          <t>No puede ser anterior a la fecha de creación del pedido</t>
        </is>
      </c>
      <c r="N9" s="45" t="inlineStr">
        <is>
          <t>No</t>
        </is>
      </c>
      <c r="O9" s="45" t="n"/>
      <c r="P9" s="45" t="n"/>
      <c r="Q9" s="45" t="n"/>
      <c r="R9" s="45" t="n"/>
      <c r="S9" s="45" t="inlineStr">
        <is>
          <t>No</t>
        </is>
      </c>
      <c r="T9" s="45" t="n"/>
      <c r="U9" s="45" t="inlineStr">
        <is>
          <t>No</t>
        </is>
      </c>
      <c r="V9" s="88" t="n"/>
      <c r="W9" s="98" t="n"/>
      <c r="X9" s="89" t="n"/>
      <c r="Y9" s="90" t="n"/>
    </row>
    <row r="11" ht="42" customHeight="1" s="354">
      <c r="A11" s="50" t="inlineStr">
        <is>
          <t>Nombre
combinación unica</t>
        </is>
      </c>
      <c r="B11" s="50" t="inlineStr">
        <is>
          <t>Descripción</t>
        </is>
      </c>
      <c r="C11" s="50" t="inlineStr">
        <is>
          <t>Atributos
involucrados</t>
        </is>
      </c>
    </row>
    <row r="12" ht="33.95" customHeight="1" s="354">
      <c r="A12" s="331">
        <f>'M-Envio'!F5</f>
        <v/>
      </c>
      <c r="B12" s="376">
        <f>'M-Envio'!F4</f>
        <v/>
      </c>
      <c r="C12" s="383">
        <f>'M-Envio'!D5</f>
        <v/>
      </c>
    </row>
    <row r="13" ht="17.1" customHeight="1" s="354">
      <c r="A13" s="362" t="n"/>
      <c r="B13" s="377" t="n"/>
      <c r="C13" s="362" t="n"/>
    </row>
    <row r="14" ht="15.75" customHeight="1" s="354"/>
    <row r="15" ht="15.75" customHeight="1" s="354">
      <c r="A15" s="340" t="inlineStr">
        <is>
          <t>Responsabilidad</t>
        </is>
      </c>
      <c r="B15" s="338" t="inlineStr">
        <is>
          <t>Descripción</t>
        </is>
      </c>
      <c r="C15" s="338" t="inlineStr">
        <is>
          <t>Entradas</t>
        </is>
      </c>
      <c r="D15" s="379" t="n"/>
      <c r="E15" s="380" t="n"/>
      <c r="F15" s="338" t="inlineStr">
        <is>
          <t>Salida</t>
        </is>
      </c>
      <c r="G15" s="380" t="n"/>
      <c r="H15" s="338" t="inlineStr">
        <is>
          <t>Políticas (Reglas de Negocio)</t>
        </is>
      </c>
      <c r="I15" s="380" t="n"/>
      <c r="J15" s="338" t="inlineStr">
        <is>
          <t xml:space="preserve">Excepción </t>
        </is>
      </c>
      <c r="K15" s="380" t="n"/>
    </row>
    <row r="16" ht="29.25" customHeight="1" s="354">
      <c r="A16" s="381" t="n"/>
      <c r="B16" s="365" t="n"/>
      <c r="C16" s="255" t="inlineStr">
        <is>
          <t>Parámettro</t>
        </is>
      </c>
      <c r="D16" s="255" t="inlineStr">
        <is>
          <t xml:space="preserve">Tipo de dato </t>
        </is>
      </c>
      <c r="E16" s="255" t="inlineStr">
        <is>
          <t>Descripci</t>
        </is>
      </c>
      <c r="F16" s="255" t="inlineStr">
        <is>
          <t>Tipo de Dato</t>
        </is>
      </c>
      <c r="G16" s="255" t="inlineStr">
        <is>
          <t>Descripción</t>
        </is>
      </c>
      <c r="H16" s="255" t="inlineStr">
        <is>
          <t>Política</t>
        </is>
      </c>
      <c r="I16" s="255" t="inlineStr">
        <is>
          <t>Descripción</t>
        </is>
      </c>
      <c r="J16" s="255" t="inlineStr">
        <is>
          <t>Detalle</t>
        </is>
      </c>
      <c r="K16" s="208" t="inlineStr">
        <is>
          <t>¿Qué hago?</t>
        </is>
      </c>
    </row>
    <row r="17" ht="138.75" customHeight="1" s="354">
      <c r="A17" s="342">
        <f>'E-Envio'!B7</f>
        <v/>
      </c>
      <c r="B17" s="261">
        <f>'E-Envio'!C7</f>
        <v/>
      </c>
      <c r="C17" s="256" t="inlineStr">
        <is>
          <t>envioNuevo</t>
        </is>
      </c>
      <c r="D17" s="256" t="inlineStr">
        <is>
          <t>Envío</t>
        </is>
      </c>
      <c r="E17" s="257" t="inlineStr">
        <is>
          <t>Contiene la información logística y de despacho a registrar.</t>
        </is>
      </c>
      <c r="F17" s="256" t="inlineStr">
        <is>
          <t>Logico</t>
        </is>
      </c>
      <c r="G17" s="256" t="inlineStr">
        <is>
          <t>Retorna verdadero si el envío se creó y despachó exitosamente.</t>
        </is>
      </c>
      <c r="H17" s="197">
        <f>'E-Envio'!G7</f>
        <v/>
      </c>
      <c r="I17" s="198">
        <f>'E-Envio'!H7</f>
        <v/>
      </c>
      <c r="J17" s="197" t="inlineStr">
        <is>
          <t>Generar excepción indicando qué campo no cumple con el formato o es obligatorio.</t>
        </is>
      </c>
      <c r="K17" s="209" t="inlineStr">
        <is>
          <t>Detener operación</t>
        </is>
      </c>
    </row>
    <row r="18" ht="88.5" customHeight="1" s="354">
      <c r="A18" s="381" t="n"/>
      <c r="B18" s="365" t="n"/>
      <c r="C18" s="365" t="n"/>
      <c r="D18" s="365" t="n"/>
      <c r="E18" s="365" t="n"/>
      <c r="F18" s="365" t="n"/>
      <c r="G18" s="365" t="n"/>
      <c r="H18" s="197">
        <f>'E-Envio'!G8</f>
        <v/>
      </c>
      <c r="I18" s="198">
        <f>'E-Envio'!H8</f>
        <v/>
      </c>
      <c r="J18" s="197" t="inlineStr">
        <is>
          <t>Generar excepción indicando que el pedido no es válido para despacho o ya fue enviado.</t>
        </is>
      </c>
      <c r="K18" s="209" t="inlineStr">
        <is>
          <t>Detener operación</t>
        </is>
      </c>
    </row>
    <row r="19" ht="184.5" customHeight="1" s="354">
      <c r="A19" s="220">
        <f>'E-Envio'!B9</f>
        <v/>
      </c>
      <c r="B19" s="346">
        <f>'E-Envio'!C9</f>
        <v/>
      </c>
      <c r="C19" s="346" t="inlineStr">
        <is>
          <t>envioModificado</t>
        </is>
      </c>
      <c r="D19" s="346" t="inlineStr">
        <is>
          <t>Envío</t>
        </is>
      </c>
      <c r="E19" s="346" t="inlineStr">
        <is>
          <t>Contiene la información del envío con los datos de guía actualizados.</t>
        </is>
      </c>
      <c r="F19" s="346" t="inlineStr">
        <is>
          <t>Logico</t>
        </is>
      </c>
      <c r="G19" s="346" t="inlineStr">
        <is>
          <t>Retorna verdadero si el envío se actualizó correctamente.</t>
        </is>
      </c>
      <c r="H19" s="346">
        <f>'E-Envio'!G9</f>
        <v/>
      </c>
      <c r="I19" s="346">
        <f>'E-Envio'!H9</f>
        <v/>
      </c>
      <c r="J19" s="346" t="inlineStr">
        <is>
          <t>Generar excepción indicando que el envío a corregir no existe en la base de datos.</t>
        </is>
      </c>
      <c r="K19" s="211" t="inlineStr">
        <is>
          <t>Detener operación</t>
        </is>
      </c>
    </row>
    <row r="20" ht="130.5" customHeight="1" s="354">
      <c r="A20" s="212">
        <f>'E-Envio'!B10</f>
        <v/>
      </c>
      <c r="B20" s="213">
        <f>'E-Envio'!C10</f>
        <v/>
      </c>
      <c r="C20" s="214" t="inlineStr">
        <is>
          <t>idPedido</t>
        </is>
      </c>
      <c r="D20" s="214" t="inlineStr">
        <is>
          <t>alfanumerico</t>
        </is>
      </c>
      <c r="E20" s="214" t="inlineStr">
        <is>
          <t>Identificador del pedido del cual se quiere conocer la información de envío.</t>
        </is>
      </c>
      <c r="F20" s="214" t="inlineStr">
        <is>
          <t>Lista&lt;Envío&gt;</t>
        </is>
      </c>
      <c r="G20" s="214" t="inlineStr">
        <is>
          <t>Retorna una colección con los objetos de envío asociados a la búsqueda.</t>
        </is>
      </c>
      <c r="H20" s="215">
        <f>'E-Envio'!G10</f>
        <v/>
      </c>
      <c r="I20" s="215">
        <f>'E-Envio'!H10</f>
        <v/>
      </c>
      <c r="J20" s="215" t="inlineStr">
        <is>
          <t>Generar excepción indicando acceso denegado por intentar rastrear el paquete de otro usuario.</t>
        </is>
      </c>
      <c r="K20" s="216" t="inlineStr">
        <is>
          <t>Detener operación</t>
        </is>
      </c>
    </row>
    <row r="21" ht="15.75" customHeight="1" s="354"/>
    <row r="22" ht="15.75" customHeight="1" s="354"/>
  </sheetData>
  <mergeCells count="19">
    <mergeCell ref="E17:E18"/>
    <mergeCell ref="G17:G18"/>
    <mergeCell ref="B12:B13"/>
    <mergeCell ref="B17:B18"/>
    <mergeCell ref="D17:D18"/>
    <mergeCell ref="A1:B1"/>
    <mergeCell ref="G1:J1"/>
    <mergeCell ref="F15:G15"/>
    <mergeCell ref="A12:A13"/>
    <mergeCell ref="C12:C13"/>
    <mergeCell ref="F17:F18"/>
    <mergeCell ref="J15:K15"/>
    <mergeCell ref="B15:B16"/>
    <mergeCell ref="A17:A18"/>
    <mergeCell ref="C17:C18"/>
    <mergeCell ref="D1:F1"/>
    <mergeCell ref="C15:E15"/>
    <mergeCell ref="H15:I15"/>
    <mergeCell ref="A15:A16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D6" location="'M-Pedido'!B2" display="&lt;Pedido&gt;"/>
    <hyperlink ref="A19" location="RANGE!W4" display="Eliminar de forma definitiva la información de un nuevo País"/>
    <hyperlink ref="A20" location="RANGE!X4" display="Consultar información de un País por su identificador"/>
  </hyperlinks>
  <pageMargins left="0.7" right="0.7" top="0.75" bottom="0.75" header="0.3" footer="0.3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E6" workbookViewId="0">
      <selection activeCell="H10" sqref="H10"/>
    </sheetView>
  </sheetViews>
  <sheetFormatPr baseColWidth="8" defaultColWidth="8.875" defaultRowHeight="15"/>
  <cols>
    <col width="21.5" bestFit="1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ListadoObjetosDominio!B17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ListadoObjetosDominio!C17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63.95" customHeight="1" s="354">
      <c r="A7" s="266" t="inlineStr">
        <is>
          <t>Administrador/Sistema</t>
        </is>
      </c>
      <c r="B7" s="266" t="inlineStr">
        <is>
          <t>Registrar envío (Despachar)</t>
        </is>
      </c>
      <c r="C7" s="266" t="inlineStr">
        <is>
          <t>Crear la orden de transporte físico asociando el pedido pagado con una empresa de mensajería externa.</t>
        </is>
      </c>
      <c r="D7" s="266">
        <f>ListadoObjetosDominio!B17</f>
        <v/>
      </c>
      <c r="E7" s="266" t="inlineStr">
        <is>
          <t>idPedido, transportadora, numeroGuia, fechaDespacho</t>
        </is>
      </c>
      <c r="F7" s="266" t="inlineStr">
        <is>
          <t>Panel logístico de generación de guías y etiquetas de despacho.</t>
        </is>
      </c>
      <c r="G7" s="74" t="inlineStr">
        <is>
          <t>ENV-POL-01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 xml:space="preserve">API de Transportadora </t>
        </is>
      </c>
      <c r="J7" s="266" t="inlineStr">
        <is>
          <t>Envío registrado</t>
        </is>
      </c>
      <c r="K7" s="266" t="inlineStr">
        <is>
          <t>Riesgo de que la dirección del cliente (idDireccion en Pedido) esté incompleta o sea errónea y la transportadora rechace el paquete.</t>
        </is>
      </c>
    </row>
    <row r="8" ht="29.25" customHeight="1" s="354">
      <c r="A8" s="362" t="n"/>
      <c r="B8" s="362" t="n"/>
      <c r="C8" s="362" t="n"/>
      <c r="D8" s="362" t="n"/>
      <c r="E8" s="362" t="n"/>
      <c r="F8" s="362" t="n"/>
      <c r="G8" s="74" t="inlineStr">
        <is>
          <t>ENV-POL-02</t>
        </is>
      </c>
      <c r="H8" s="74" t="inlineStr">
        <is>
          <t>El idPedido asociado debe existir, estar pagado y no tener otro envío activo.</t>
        </is>
      </c>
      <c r="I8" s="362" t="n"/>
      <c r="J8" s="362" t="n"/>
      <c r="K8" s="362" t="n"/>
    </row>
    <row r="9" ht="80.09999999999999" customHeight="1" s="354">
      <c r="A9" s="243" t="inlineStr">
        <is>
          <t xml:space="preserve">Administrador </t>
        </is>
      </c>
      <c r="B9" s="243" t="inlineStr">
        <is>
          <t>Modificar envío (Corregir)</t>
        </is>
      </c>
      <c r="C9" s="243" t="inlineStr">
        <is>
          <t>Actualizar los datos de despacho si hubo un error al generar la guía o si la caja se reasignó a otra empresa de transporte.</t>
        </is>
      </c>
      <c r="D9" s="243">
        <f>ListadoObjetosDominio!B17</f>
        <v/>
      </c>
      <c r="E9" s="243" t="inlineStr">
        <is>
          <t>idEnvio, idPedido, transportadora, numeroGuia, fechaDespacho</t>
        </is>
      </c>
      <c r="F9" s="243" t="inlineStr">
        <is>
          <t>Panel de control de despachos o actualización automática vía Webhook de la transportadora.</t>
        </is>
      </c>
      <c r="G9" s="74" t="inlineStr">
        <is>
          <t>ENV-POL-03</t>
        </is>
      </c>
      <c r="H9" s="74" t="inlineStr">
        <is>
          <t>El idEnvio a modificar debe existir previamente en el sistema.</t>
        </is>
      </c>
      <c r="I9" s="243" t="inlineStr">
        <is>
          <t xml:space="preserve">API de Transportadora </t>
        </is>
      </c>
      <c r="J9" s="243" t="inlineStr">
        <is>
          <t>Estado de envío actualizado</t>
        </is>
      </c>
      <c r="K9" s="243" t="inlineStr">
        <is>
          <t>Si se cambia el numeroGuia después de despachado, el cliente podría asustarse porque el link de rastreo original dejará de funcionar.</t>
        </is>
      </c>
    </row>
    <row r="10" ht="57.75" customHeight="1" s="354">
      <c r="A10" s="74" t="inlineStr">
        <is>
          <t>Cliente</t>
        </is>
      </c>
      <c r="B10" s="74" t="inlineStr">
        <is>
          <t>Consultar envío (Tracking)</t>
        </is>
      </c>
      <c r="C10" s="74" t="inlineStr">
        <is>
          <t>Consultar la ubicación actual y el estado del paquete físico utilizando su número de guía.</t>
        </is>
      </c>
      <c r="D10" s="74">
        <f>ListadoObjetosDominio!B17</f>
        <v/>
      </c>
      <c r="E10" s="74" t="inlineStr">
        <is>
          <t>idEnvio, idPedido, transportadora, numeroGuia, fechaDespacho</t>
        </is>
      </c>
      <c r="F10" s="74" t="inlineStr">
        <is>
          <t>Interfaz de "Rastrea tu pedido" en el perfil del usuario mostrando la línea de tiempo logística.</t>
        </is>
      </c>
      <c r="G10" s="74" t="inlineStr">
        <is>
          <t>ENV-POL-04</t>
        </is>
      </c>
      <c r="H10" s="74" t="inlineStr">
        <is>
          <t>El cliente solo puede rastrear los envíos asociados a sus propios pedidos.</t>
        </is>
      </c>
      <c r="I10" s="74" t="inlineStr">
        <is>
          <t>API de Transportadora (Tracking)</t>
        </is>
      </c>
      <c r="J10" s="74" t="inlineStr">
        <is>
          <t>Envío rastreado</t>
        </is>
      </c>
      <c r="K10" s="74" t="inlineStr">
        <is>
          <t>Experiencia de usuario: Si el sistema interno no está sincronizado en tiempo real con la transportadora, el cliente verá información desactualizada.</t>
        </is>
      </c>
    </row>
    <row r="11">
      <c r="D11" s="158" t="n"/>
    </row>
  </sheetData>
  <mergeCells count="23">
    <mergeCell ref="E5:F5"/>
    <mergeCell ref="A7:A8"/>
    <mergeCell ref="I7:I8"/>
    <mergeCell ref="E4:F4"/>
    <mergeCell ref="D7:D8"/>
    <mergeCell ref="J7:J8"/>
    <mergeCell ref="B3:K3"/>
    <mergeCell ref="I5:I6"/>
    <mergeCell ref="A5:A6"/>
    <mergeCell ref="G5:H5"/>
    <mergeCell ref="C7:C8"/>
    <mergeCell ref="E7:E8"/>
    <mergeCell ref="K7:K8"/>
    <mergeCell ref="B2:K2"/>
    <mergeCell ref="B5:B6"/>
    <mergeCell ref="D5:D6"/>
    <mergeCell ref="G4:H4"/>
    <mergeCell ref="K5:K6"/>
    <mergeCell ref="J5:J6"/>
    <mergeCell ref="B7:B8"/>
    <mergeCell ref="F7:F8"/>
    <mergeCell ref="B4:C4"/>
    <mergeCell ref="C5:C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9"/>
  <sheetViews>
    <sheetView topLeftCell="C1" zoomScale="93" zoomScaleNormal="93" workbookViewId="0">
      <selection activeCell="E8" sqref="E8"/>
    </sheetView>
  </sheetViews>
  <sheetFormatPr baseColWidth="8" defaultColWidth="11" defaultRowHeight="15.95"/>
  <cols>
    <col width="41.625" customWidth="1" style="354" min="1" max="6"/>
    <col width="25.5" customWidth="1" style="354" min="7" max="7"/>
  </cols>
  <sheetData>
    <row r="1">
      <c r="A1" s="343" t="inlineStr">
        <is>
          <t>&lt;&lt; Ir al modelo de dominio</t>
        </is>
      </c>
      <c r="G1" s="335" t="inlineStr">
        <is>
          <t>&lt;&lt; Ir al listado de objetos de dominio</t>
        </is>
      </c>
      <c r="I1" s="343" t="inlineStr">
        <is>
          <t>&lt;&lt; Ir a la caracterización del objeto de dominio</t>
        </is>
      </c>
    </row>
    <row r="2">
      <c r="A2" s="21" t="inlineStr">
        <is>
          <t>Nombre</t>
        </is>
      </c>
      <c r="B2" s="332">
        <f>ListadoObjetosDominio!B18</f>
        <v/>
      </c>
      <c r="G2" s="58" t="n"/>
    </row>
    <row r="3">
      <c r="A3" s="21" t="inlineStr">
        <is>
          <t>Descripción</t>
        </is>
      </c>
      <c r="B3" s="228">
        <f>ListadoObjetosDominio!C18</f>
        <v/>
      </c>
    </row>
    <row r="4" ht="33.95" customHeight="1" s="354">
      <c r="A4" s="29" t="inlineStr">
        <is>
          <t>Identificador interno autogenerado por el sistema para el evento</t>
        </is>
      </c>
      <c r="B4" s="29" t="inlineStr">
        <is>
          <t>Referencia al objeto de dominio “Envío” al que pertenece este evento (Llave foránea)</t>
        </is>
      </c>
      <c r="C4" s="29" t="inlineStr">
        <is>
          <t>Estado logístico reportado por la transportadora (Ej. En bodega, En ruta, Entregado)</t>
        </is>
      </c>
      <c r="D4" s="29" t="inlineStr">
        <is>
          <t>Fecha y hora exacta en la que se registró este estado</t>
        </is>
      </c>
      <c r="E4" s="29" t="inlineStr">
        <is>
          <t>Observación o detalle adicional del movimiento (ciudad, sede, novedad)</t>
        </is>
      </c>
      <c r="F4" s="29" t="inlineStr">
        <is>
          <t>Indica que no se debe registrar más de un evento con la misma fecha y estado para el mismo envío</t>
        </is>
      </c>
    </row>
    <row r="5">
      <c r="A5" s="22" t="inlineStr">
        <is>
          <t>idEvento</t>
        </is>
      </c>
      <c r="B5" s="22" t="inlineStr">
        <is>
          <t>idEnvio</t>
        </is>
      </c>
      <c r="C5" s="22" t="inlineStr">
        <is>
          <t>estadoLogistico</t>
        </is>
      </c>
      <c r="D5" s="22" t="inlineStr">
        <is>
          <t>fechaHora</t>
        </is>
      </c>
      <c r="E5" s="22" t="inlineStr">
        <is>
          <t>observacion</t>
        </is>
      </c>
      <c r="F5" s="24" t="inlineStr">
        <is>
          <t>Combinación única 1</t>
        </is>
      </c>
    </row>
    <row r="6">
      <c r="A6" s="28" t="inlineStr">
        <is>
          <t>EVT-001</t>
        </is>
      </c>
      <c r="B6" s="151" t="inlineStr">
        <is>
          <t>ENV-001</t>
        </is>
      </c>
      <c r="C6" s="151" t="inlineStr">
        <is>
          <t xml:space="preserve">Recibido en bodega </t>
        </is>
      </c>
      <c r="D6" s="152" t="n">
        <v>46110</v>
      </c>
      <c r="E6" s="151" t="inlineStr">
        <is>
          <t>Llegó a bodega principal de Coordinadora en Medellín.</t>
        </is>
      </c>
      <c r="F6" s="150">
        <f>_xlfn.CONCAT(B6,"-",C6,"-",D6)</f>
        <v/>
      </c>
    </row>
    <row r="7">
      <c r="A7" s="28" t="inlineStr">
        <is>
          <t>EVT-002</t>
        </is>
      </c>
      <c r="B7" s="151" t="inlineStr">
        <is>
          <t>ENV-002</t>
        </is>
      </c>
      <c r="C7" s="151" t="inlineStr">
        <is>
          <t>En Ruta</t>
        </is>
      </c>
      <c r="D7" s="152" t="n">
        <v>46110</v>
      </c>
      <c r="E7" s="151" t="inlineStr">
        <is>
          <t>Llegó a bodega principal de Coordinadora en Medellín.</t>
        </is>
      </c>
      <c r="F7" s="150">
        <f>_xlfn.CONCAT(B7,"-",C7,"-",D7)</f>
        <v/>
      </c>
    </row>
    <row r="8">
      <c r="A8" s="28" t="inlineStr">
        <is>
          <t>EVT-003</t>
        </is>
      </c>
      <c r="B8" s="151" t="inlineStr">
        <is>
          <t>ENV-003</t>
        </is>
      </c>
      <c r="C8" s="151" t="inlineStr">
        <is>
          <t>En Destino</t>
        </is>
      </c>
      <c r="D8" s="152" t="n">
        <v>46110</v>
      </c>
      <c r="E8" s="151" t="inlineStr">
        <is>
          <t>Llegó a bodega principal de Coordinadora en Medellín.</t>
        </is>
      </c>
      <c r="F8" s="150">
        <f>_xlfn.CONCAT(B8,"-",C8,"-",D8)</f>
        <v/>
      </c>
    </row>
    <row r="9">
      <c r="A9" s="28" t="inlineStr">
        <is>
          <t>EVT-004</t>
        </is>
      </c>
      <c r="B9" s="151" t="inlineStr">
        <is>
          <t>ENV-004</t>
        </is>
      </c>
      <c r="C9" s="151" t="inlineStr">
        <is>
          <t xml:space="preserve">Entregado </t>
        </is>
      </c>
      <c r="D9" s="152" t="n">
        <v>46110</v>
      </c>
      <c r="E9" s="151" t="inlineStr">
        <is>
          <t>Llegó a bodega principal de Coordinadora en Medellín.</t>
        </is>
      </c>
      <c r="F9" s="150">
        <f>_xlfn.CONCAT(B9,"-",C9,"-",D9)</f>
        <v/>
      </c>
    </row>
    <row r="10">
      <c r="A10" s="28" t="inlineStr">
        <is>
          <t>EVT-005</t>
        </is>
      </c>
      <c r="B10" s="151" t="inlineStr">
        <is>
          <t>ENV-005</t>
        </is>
      </c>
      <c r="C10" s="151" t="inlineStr">
        <is>
          <t xml:space="preserve">Entregado </t>
        </is>
      </c>
      <c r="D10" s="152" t="n">
        <v>46110</v>
      </c>
      <c r="E10" s="151" t="inlineStr">
        <is>
          <t>Llegó a bodega principal de Coordinadora en Medellín.</t>
        </is>
      </c>
      <c r="F10" s="150">
        <f>_xlfn.CONCAT(B10,"-",C10,"-",D10)</f>
        <v/>
      </c>
    </row>
    <row r="13">
      <c r="A13" s="325" t="inlineStr">
        <is>
          <t>Corresponde a los datos generales del objeto de dominio (nombre, descripción)</t>
        </is>
      </c>
      <c r="B13" s="325" t="n"/>
      <c r="C13" s="325" t="n"/>
      <c r="D13" s="325" t="n"/>
      <c r="E13" s="325" t="n"/>
      <c r="F13" s="325" t="n"/>
      <c r="G13" s="62" t="n"/>
    </row>
    <row r="14">
      <c r="A14" s="31" t="inlineStr">
        <is>
          <t>Corresponde a las descripciones de los atributos</t>
        </is>
      </c>
      <c r="B14" s="31" t="n"/>
      <c r="C14" s="31" t="n"/>
      <c r="D14" s="31" t="n"/>
      <c r="E14" s="31" t="n"/>
      <c r="F14" s="31" t="n"/>
      <c r="G14" s="59" t="n"/>
    </row>
    <row r="15">
      <c r="A15" s="333" t="inlineStr">
        <is>
          <t>Coresponde al nombre de los atributos</t>
        </is>
      </c>
    </row>
    <row r="16">
      <c r="A16" s="254" t="inlineStr">
        <is>
          <t>Corresponde a los datos que son de libre ingreso</t>
        </is>
      </c>
    </row>
    <row r="17">
      <c r="A17" s="334" t="inlineStr">
        <is>
          <t>Corresponde a los datos que se generarán automáticamente</t>
        </is>
      </c>
    </row>
    <row r="18">
      <c r="A18" s="222" t="inlineStr">
        <is>
          <t>Corresponde a la combinación única 1</t>
        </is>
      </c>
    </row>
    <row r="19">
      <c r="A19" s="324" t="inlineStr">
        <is>
          <t>Corresponde a referencias a otros objetos de dominio</t>
        </is>
      </c>
    </row>
  </sheetData>
  <mergeCells count="10">
    <mergeCell ref="B3:G3"/>
    <mergeCell ref="A17:G17"/>
    <mergeCell ref="A18:G18"/>
    <mergeCell ref="I1:L1"/>
    <mergeCell ref="B2:F2"/>
    <mergeCell ref="G1:H1"/>
    <mergeCell ref="A1:F1"/>
    <mergeCell ref="A16:G16"/>
    <mergeCell ref="A15:G15"/>
    <mergeCell ref="A19:G19"/>
  </mergeCells>
  <hyperlinks>
    <hyperlink ref="A1" location="'Modelo de dominio'!A1" display="&lt;&lt; Ir al modelo de dominio"/>
    <hyperlink ref="G1" location="ListadoObjetosDominio!A1" display="&lt;&lt; Ir al listado de objetos de dominio"/>
    <hyperlink ref="I1" location="'C-Departamento'!A1" display="&lt;&lt; Ir a la caracterización del objeto de dominio"/>
    <hyperlink ref="B6" location="'M-Pedido'!A6" display="PED-2026-001"/>
    <hyperlink ref="F6" location="'M-MetodoPago'!B6" display="'M-MetodoPago'!B6"/>
    <hyperlink ref="B7" location="'M-Pedido'!A6" display="PED-2026-001"/>
    <hyperlink ref="F7" location="'M-MetodoPago'!B6" display="'M-MetodoPago'!B6"/>
    <hyperlink ref="B8" location="'M-Pedido'!A6" display="PED-2026-001"/>
    <hyperlink ref="F8" location="'M-MetodoPago'!B6" display="'M-MetodoPago'!B6"/>
    <hyperlink ref="B9" location="'M-Pedido'!A6" display="PED-2026-001"/>
    <hyperlink ref="F9" location="'M-MetodoPago'!B6" display="'M-MetodoPago'!B6"/>
    <hyperlink ref="B10" location="'M-Pedido'!A6" display="PED-2026-001"/>
    <hyperlink ref="F10" location="'M-MetodoPago'!B6" display="'M-MetodoPago'!B6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0"/>
  <sheetViews>
    <sheetView topLeftCell="A14" zoomScale="75" workbookViewId="0">
      <selection activeCell="A15" sqref="A15:K20"/>
    </sheetView>
  </sheetViews>
  <sheetFormatPr baseColWidth="8" defaultColWidth="11" defaultRowHeight="15.95"/>
  <cols>
    <col width="14" customWidth="1" style="354" min="1" max="1"/>
    <col width="92" customWidth="1" style="354" min="2" max="2"/>
    <col width="22.375" customWidth="1" style="354" min="3" max="3"/>
    <col width="15.625" customWidth="1" style="354" min="4" max="4"/>
    <col width="16.625" customWidth="1" style="354" min="5" max="5"/>
    <col width="17.875" customWidth="1" style="354" min="6" max="6"/>
    <col width="42.125" customWidth="1" style="354" min="7" max="7"/>
    <col width="9" bestFit="1" customWidth="1" style="354" min="8" max="9"/>
    <col width="19.625" bestFit="1" customWidth="1" style="354" min="10" max="10"/>
    <col width="9" bestFit="1" customWidth="1" style="354" min="11" max="21"/>
    <col width="24.125" bestFit="1" customWidth="1" style="354" min="22" max="22"/>
    <col width="28" bestFit="1" customWidth="1" style="354" min="23" max="24"/>
    <col width="18" bestFit="1" customWidth="1" style="354" min="25" max="25"/>
  </cols>
  <sheetData>
    <row r="1">
      <c r="A1" s="221" t="inlineStr">
        <is>
          <t>&lt;&lt; Ir al modelo de dominio</t>
        </is>
      </c>
      <c r="C1" s="27" t="n"/>
      <c r="D1" s="223" t="inlineStr">
        <is>
          <t>&lt;&lt; Ir al listado de objetos de dominio</t>
        </is>
      </c>
      <c r="G1" s="221" t="inlineStr">
        <is>
          <t xml:space="preserve">&lt;&lt; Ir a la caracterización del objeto de dominio </t>
        </is>
      </c>
    </row>
    <row r="2">
      <c r="A2" s="36" t="inlineStr">
        <is>
          <t>Nombre</t>
        </is>
      </c>
      <c r="B2" s="36">
        <f>'M-EnvioRastreo'!B2</f>
        <v/>
      </c>
      <c r="C2" s="37" t="n"/>
      <c r="D2" s="38" t="n"/>
      <c r="E2" s="38" t="n"/>
      <c r="F2" s="38" t="n"/>
      <c r="G2" s="38" t="n"/>
      <c r="H2" s="37" t="n"/>
      <c r="I2" s="37" t="n"/>
      <c r="J2" s="37" t="n"/>
      <c r="K2" s="37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</row>
    <row r="3">
      <c r="A3" s="87" t="inlineStr">
        <is>
          <t>Descripción</t>
        </is>
      </c>
      <c r="B3" s="95">
        <f>'M-EnvioRastreo'!B3</f>
        <v/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W3" s="91" t="n"/>
      <c r="X3" s="5" t="n"/>
      <c r="Y3" s="5" t="n"/>
    </row>
    <row r="4">
      <c r="A4" s="93" t="inlineStr">
        <is>
          <t>Nombre atributo</t>
        </is>
      </c>
      <c r="B4" s="96" t="inlineStr">
        <is>
          <t>Descripción atributo</t>
        </is>
      </c>
      <c r="C4" s="94" t="inlineStr">
        <is>
          <t>Identificador del objeto de dominio</t>
        </is>
      </c>
      <c r="D4" s="92" t="inlineStr">
        <is>
          <t xml:space="preserve">Tipo de dato </t>
        </is>
      </c>
      <c r="E4" s="92" t="inlineStr">
        <is>
          <t>Obligatorio</t>
        </is>
      </c>
      <c r="F4" s="92" t="inlineStr">
        <is>
          <t xml:space="preserve"> Longitud minima(si aplica longitud maxima(si aplica)</t>
        </is>
      </c>
      <c r="G4" s="92" t="inlineStr">
        <is>
          <t xml:space="preserve"> Longitud maxima(si aplica longitud maxima(si aplica)</t>
        </is>
      </c>
      <c r="H4" s="92" t="inlineStr">
        <is>
          <t>Precisión (si aplica)</t>
        </is>
      </c>
      <c r="I4" s="92" t="inlineStr">
        <is>
          <t>Redondeo(si aplica)</t>
        </is>
      </c>
      <c r="J4" s="92" t="inlineStr">
        <is>
          <t>Rango inicial(si aplica)</t>
        </is>
      </c>
      <c r="K4" s="92" t="inlineStr">
        <is>
          <t>Rango final (si aplica)</t>
        </is>
      </c>
      <c r="L4" s="92" t="inlineStr">
        <is>
          <t>Formato(Si aplica)</t>
        </is>
      </c>
      <c r="M4" s="92" t="inlineStr">
        <is>
          <t>Reglas especiales(si aplica)</t>
        </is>
      </c>
      <c r="N4" s="92" t="inlineStr">
        <is>
          <t xml:space="preserve">Dato calculado </t>
        </is>
      </c>
      <c r="O4" s="92" t="inlineStr">
        <is>
          <t>Aplica ajuste del dato(si aplica)</t>
        </is>
      </c>
      <c r="P4" s="92" t="inlineStr">
        <is>
          <t>Carácter de ajuste(si aplica)</t>
        </is>
      </c>
      <c r="Q4" s="92" t="inlineStr">
        <is>
          <t>Quitar espacios en blanco al inicio(si aplica)</t>
        </is>
      </c>
      <c r="R4" s="92" t="inlineStr">
        <is>
          <t>Quitar espacios en blanco al fin(si aplica)</t>
        </is>
      </c>
      <c r="S4" s="92" t="inlineStr">
        <is>
          <t>Dato sensible(si aplica)</t>
        </is>
      </c>
      <c r="T4" s="92" t="inlineStr">
        <is>
          <t>Valor por defecto(si aplica)</t>
        </is>
      </c>
      <c r="U4" s="92" t="inlineStr">
        <is>
          <t>Auto generado</t>
        </is>
      </c>
      <c r="V4" s="97">
        <f>#REF!</f>
        <v/>
      </c>
      <c r="W4" s="98">
        <f>#REF!</f>
        <v/>
      </c>
      <c r="X4" s="89">
        <f>#REF!</f>
        <v/>
      </c>
      <c r="Y4" s="90">
        <f>#REF!</f>
        <v/>
      </c>
    </row>
    <row r="5" ht="56.1" customHeight="1" s="354">
      <c r="A5" s="45">
        <f>'M-EnvioRastreo'!A5</f>
        <v/>
      </c>
      <c r="B5" s="52">
        <f>'M-EnvioRastreo'!A4</f>
        <v/>
      </c>
      <c r="C5" s="45" t="inlineStr">
        <is>
          <t>Si</t>
        </is>
      </c>
      <c r="D5" s="45" t="inlineStr">
        <is>
          <t>alfanumerico</t>
        </is>
      </c>
      <c r="E5" s="45" t="inlineStr">
        <is>
          <t>Si</t>
        </is>
      </c>
      <c r="F5" s="45" t="n">
        <v>1</v>
      </c>
      <c r="G5" s="45" t="n">
        <v>30</v>
      </c>
      <c r="H5" s="45" t="n"/>
      <c r="I5" s="45" t="n"/>
      <c r="J5" s="45" t="n"/>
      <c r="K5" s="45" t="n"/>
      <c r="L5" s="45" t="inlineStr">
        <is>
          <t>Mayusculas</t>
        </is>
      </c>
      <c r="M5" s="45" t="inlineStr">
        <is>
          <t>Identificador único del hito de rastreo</t>
        </is>
      </c>
      <c r="N5" s="45" t="inlineStr">
        <is>
          <t>No</t>
        </is>
      </c>
      <c r="O5" s="45" t="inlineStr">
        <is>
          <t>No</t>
        </is>
      </c>
      <c r="P5" s="45" t="n"/>
      <c r="Q5" s="45" t="inlineStr">
        <is>
          <t>Si</t>
        </is>
      </c>
      <c r="R5" s="45" t="inlineStr">
        <is>
          <t>Si</t>
        </is>
      </c>
      <c r="S5" s="45" t="inlineStr">
        <is>
          <t>No</t>
        </is>
      </c>
      <c r="T5" s="45" t="n"/>
      <c r="U5" s="45" t="inlineStr">
        <is>
          <t>Si</t>
        </is>
      </c>
      <c r="V5" s="88" t="inlineStr">
        <is>
          <t>Requerido</t>
        </is>
      </c>
      <c r="W5" s="98" t="inlineStr">
        <is>
          <t>No requerido</t>
        </is>
      </c>
      <c r="X5" s="89" t="n"/>
      <c r="Y5" s="90" t="n"/>
    </row>
    <row r="6" ht="126" customHeight="1" s="354">
      <c r="A6" s="45">
        <f>'M-EnvioRastreo'!B5</f>
        <v/>
      </c>
      <c r="B6" s="45">
        <f>'M-EnvioRastreo'!B4</f>
        <v/>
      </c>
      <c r="C6" s="45" t="inlineStr">
        <is>
          <t>No</t>
        </is>
      </c>
      <c r="D6" s="165" t="inlineStr">
        <is>
          <t>&lt;Envio&gt;</t>
        </is>
      </c>
      <c r="E6" s="45" t="inlineStr">
        <is>
          <t>Si</t>
        </is>
      </c>
      <c r="F6" s="45" t="n"/>
      <c r="G6" s="45" t="n"/>
      <c r="H6" s="45" t="n"/>
      <c r="I6" s="45" t="n"/>
      <c r="J6" s="45" t="n"/>
      <c r="K6" s="45" t="n"/>
      <c r="L6" s="45" t="n"/>
      <c r="M6" s="45" t="inlineStr">
        <is>
          <t>El despacho físico debe existir y poseer un número de guía válido</t>
        </is>
      </c>
      <c r="N6" s="45" t="inlineStr">
        <is>
          <t>No</t>
        </is>
      </c>
      <c r="O6" s="45" t="n"/>
      <c r="P6" s="45" t="n"/>
      <c r="Q6" s="45" t="n"/>
      <c r="R6" s="45" t="n"/>
      <c r="S6" s="45" t="inlineStr">
        <is>
          <t>No</t>
        </is>
      </c>
      <c r="T6" s="45" t="n"/>
      <c r="U6" s="45" t="inlineStr">
        <is>
          <t>No</t>
        </is>
      </c>
      <c r="V6" s="88" t="inlineStr">
        <is>
          <t>No requerido</t>
        </is>
      </c>
      <c r="W6" s="98" t="inlineStr">
        <is>
          <t>No requerido</t>
        </is>
      </c>
      <c r="X6" s="89" t="n"/>
      <c r="Y6" s="90" t="n"/>
    </row>
    <row r="7" ht="140.1" customHeight="1" s="354">
      <c r="A7" s="45">
        <f>'M-EnvioRastreo'!C5</f>
        <v/>
      </c>
      <c r="B7" s="45">
        <f>'M-EnvioRastreo'!C4</f>
        <v/>
      </c>
      <c r="C7" s="45" t="inlineStr">
        <is>
          <t>No</t>
        </is>
      </c>
      <c r="D7" s="45" t="inlineStr">
        <is>
          <t>Texto</t>
        </is>
      </c>
      <c r="E7" s="45" t="inlineStr">
        <is>
          <t>Si</t>
        </is>
      </c>
      <c r="F7" s="45" t="n">
        <v>5</v>
      </c>
      <c r="G7" s="45" t="n">
        <v>50</v>
      </c>
      <c r="H7" s="45" t="n"/>
      <c r="I7" s="45" t="n"/>
      <c r="J7" s="45" t="n"/>
      <c r="K7" s="45" t="n"/>
      <c r="L7" s="45" t="inlineStr">
        <is>
          <t>Capitalizado</t>
        </is>
      </c>
      <c r="M7" s="45" t="inlineStr">
        <is>
          <t>Solo permite: 'Recibido', 'En transito', 'En reparto', 'Entregado' o 'Novedad'</t>
        </is>
      </c>
      <c r="N7" s="45" t="inlineStr">
        <is>
          <t>No</t>
        </is>
      </c>
      <c r="O7" s="45" t="inlineStr">
        <is>
          <t>No</t>
        </is>
      </c>
      <c r="P7" s="45" t="n"/>
      <c r="Q7" s="45" t="inlineStr">
        <is>
          <t>Si</t>
        </is>
      </c>
      <c r="R7" s="45" t="inlineStr">
        <is>
          <t>si</t>
        </is>
      </c>
      <c r="S7" s="45" t="inlineStr">
        <is>
          <t>No</t>
        </is>
      </c>
      <c r="T7" s="45" t="n"/>
      <c r="U7" s="45" t="inlineStr">
        <is>
          <t>No</t>
        </is>
      </c>
      <c r="V7" s="88" t="inlineStr">
        <is>
          <t>Norequerido</t>
        </is>
      </c>
      <c r="W7" s="98" t="inlineStr">
        <is>
          <t>No requerido</t>
        </is>
      </c>
      <c r="X7" s="89" t="n"/>
      <c r="Y7" s="90" t="n"/>
    </row>
    <row r="8" ht="140.1" customHeight="1" s="354">
      <c r="A8" s="45">
        <f>'M-EnvioRastreo'!D5</f>
        <v/>
      </c>
      <c r="B8" s="45">
        <f>'M-EnvioRastreo'!D4</f>
        <v/>
      </c>
      <c r="C8" s="45" t="inlineStr">
        <is>
          <t>No</t>
        </is>
      </c>
      <c r="D8" s="45" t="inlineStr">
        <is>
          <t>Fecha/Hora</t>
        </is>
      </c>
      <c r="E8" s="45" t="inlineStr">
        <is>
          <t>Si</t>
        </is>
      </c>
      <c r="F8" s="45" t="n"/>
      <c r="G8" s="45" t="n"/>
      <c r="H8" s="45" t="n"/>
      <c r="I8" s="45" t="n"/>
      <c r="J8" s="45" t="n"/>
      <c r="K8" s="45" t="n"/>
      <c r="L8" s="45" t="n"/>
      <c r="M8" s="45" t="inlineStr">
        <is>
          <t>Se captura el momento exacto en que la transportadora reporta la actualización</t>
        </is>
      </c>
      <c r="N8" s="45" t="inlineStr">
        <is>
          <t>No</t>
        </is>
      </c>
      <c r="O8" s="45" t="n"/>
      <c r="P8" s="45" t="n"/>
      <c r="Q8" s="45" t="n"/>
      <c r="R8" s="45" t="n"/>
      <c r="S8" s="45" t="inlineStr">
        <is>
          <t>No</t>
        </is>
      </c>
      <c r="T8" s="45" t="n"/>
      <c r="U8" s="45" t="inlineStr">
        <is>
          <t>Si</t>
        </is>
      </c>
      <c r="V8" s="88" t="n"/>
      <c r="W8" s="98" t="n"/>
      <c r="X8" s="89" t="n"/>
      <c r="Y8" s="90" t="n"/>
    </row>
    <row r="9" ht="182.1" customHeight="1" s="354">
      <c r="A9" s="45">
        <f>'M-EnvioRastreo'!E5</f>
        <v/>
      </c>
      <c r="B9" s="45">
        <f>'M-EnvioRastreo'!E4</f>
        <v/>
      </c>
      <c r="C9" s="45" t="inlineStr">
        <is>
          <t>No</t>
        </is>
      </c>
      <c r="D9" s="45" t="inlineStr">
        <is>
          <t>Texto</t>
        </is>
      </c>
      <c r="E9" s="45" t="inlineStr">
        <is>
          <t>No</t>
        </is>
      </c>
      <c r="F9" s="45" t="n">
        <v>0</v>
      </c>
      <c r="G9" s="45" t="n">
        <v>255</v>
      </c>
      <c r="H9" s="45" t="n"/>
      <c r="I9" s="45" t="n"/>
      <c r="J9" s="45" t="n"/>
      <c r="K9" s="45" t="n"/>
      <c r="L9" s="45" t="n"/>
      <c r="M9" s="45" t="inlineStr">
        <is>
          <t>Se usa para ampliar el detalle del evento; es obligatoria cuando estadoLogistico sea Novedad</t>
        </is>
      </c>
      <c r="N9" s="45" t="inlineStr">
        <is>
          <t>No</t>
        </is>
      </c>
      <c r="O9" s="45" t="inlineStr">
        <is>
          <t>No</t>
        </is>
      </c>
      <c r="P9" s="45" t="n"/>
      <c r="Q9" s="45" t="inlineStr">
        <is>
          <t>Si</t>
        </is>
      </c>
      <c r="R9" s="45" t="inlineStr">
        <is>
          <t>Si</t>
        </is>
      </c>
      <c r="S9" s="45" t="inlineStr">
        <is>
          <t>No</t>
        </is>
      </c>
      <c r="T9" s="45" t="n"/>
      <c r="U9" s="45" t="inlineStr">
        <is>
          <t>No</t>
        </is>
      </c>
      <c r="V9" s="88" t="n"/>
      <c r="W9" s="98" t="n"/>
      <c r="X9" s="89" t="n"/>
      <c r="Y9" s="90" t="n"/>
    </row>
    <row r="11" ht="42" customHeight="1" s="354">
      <c r="A11" s="50" t="inlineStr">
        <is>
          <t>Nombre
combinación unica</t>
        </is>
      </c>
      <c r="B11" s="50" t="inlineStr">
        <is>
          <t>Descripción</t>
        </is>
      </c>
      <c r="C11" s="50" t="inlineStr">
        <is>
          <t>Atributos
involucrados</t>
        </is>
      </c>
    </row>
    <row r="12" ht="33.95" customHeight="1" s="354">
      <c r="A12" s="331">
        <f>'M-EnvioRastreo'!F5</f>
        <v/>
      </c>
      <c r="B12" s="376">
        <f>'M-EnvioRastreo'!F4</f>
        <v/>
      </c>
      <c r="C12" s="49">
        <f>'M-Pedido'!A5</f>
        <v/>
      </c>
    </row>
    <row r="13" ht="17.1" customHeight="1" s="354">
      <c r="A13" s="362" t="n"/>
      <c r="B13" s="377" t="n"/>
      <c r="C13" s="49" t="n"/>
    </row>
    <row r="14" ht="15.75" customHeight="1" s="354"/>
    <row r="15" ht="15.75" customHeight="1" s="354">
      <c r="A15" s="340" t="inlineStr">
        <is>
          <t>Responsabilidad</t>
        </is>
      </c>
      <c r="B15" s="338" t="inlineStr">
        <is>
          <t>Descripción</t>
        </is>
      </c>
      <c r="C15" s="338" t="inlineStr">
        <is>
          <t>Entradas</t>
        </is>
      </c>
      <c r="D15" s="379" t="n"/>
      <c r="E15" s="380" t="n"/>
      <c r="F15" s="338" t="inlineStr">
        <is>
          <t>Salida</t>
        </is>
      </c>
      <c r="G15" s="380" t="n"/>
      <c r="H15" s="338" t="inlineStr">
        <is>
          <t>Políticas (Reglas de Negocio)</t>
        </is>
      </c>
      <c r="I15" s="380" t="n"/>
      <c r="J15" s="338" t="inlineStr">
        <is>
          <t xml:space="preserve">Excepción </t>
        </is>
      </c>
      <c r="K15" s="380" t="n"/>
    </row>
    <row r="16" ht="29.25" customHeight="1" s="354">
      <c r="A16" s="381" t="n"/>
      <c r="B16" s="365" t="n"/>
      <c r="C16" s="255" t="inlineStr">
        <is>
          <t>Parámettro</t>
        </is>
      </c>
      <c r="D16" s="255" t="inlineStr">
        <is>
          <t xml:space="preserve">Tipo de dato </t>
        </is>
      </c>
      <c r="E16" s="255" t="inlineStr">
        <is>
          <t>Descripci</t>
        </is>
      </c>
      <c r="F16" s="255" t="inlineStr">
        <is>
          <t>Tipo de Dato</t>
        </is>
      </c>
      <c r="G16" s="255" t="inlineStr">
        <is>
          <t>Descripción</t>
        </is>
      </c>
      <c r="H16" s="255" t="inlineStr">
        <is>
          <t>Política</t>
        </is>
      </c>
      <c r="I16" s="255" t="inlineStr">
        <is>
          <t>Descripción</t>
        </is>
      </c>
      <c r="J16" s="255" t="inlineStr">
        <is>
          <t>Detalle</t>
        </is>
      </c>
      <c r="K16" s="208" t="inlineStr">
        <is>
          <t>¿Qué hago?</t>
        </is>
      </c>
    </row>
    <row r="17" ht="138.75" customHeight="1" s="354">
      <c r="A17" s="342">
        <f>'E-EnvioRastreo'!B7</f>
        <v/>
      </c>
      <c r="B17" s="261">
        <f>'E-EnvioRastreo'!C7</f>
        <v/>
      </c>
      <c r="C17" s="256" t="inlineStr">
        <is>
          <t>eventoNuevo</t>
        </is>
      </c>
      <c r="D17" s="256" t="inlineStr">
        <is>
          <t>EnvioRastreo</t>
        </is>
      </c>
      <c r="E17" s="257" t="inlineStr">
        <is>
          <t>Contiene la información del nuevo evento logístico a registrar.</t>
        </is>
      </c>
      <c r="F17" s="256" t="inlineStr">
        <is>
          <t>Logico</t>
        </is>
      </c>
      <c r="G17" s="256" t="inlineStr">
        <is>
          <t>Retorna verdadero si el evento de rastreo se registró exitosamente.</t>
        </is>
      </c>
      <c r="H17" s="197">
        <f>'E-EnvioRastreo'!G7</f>
        <v/>
      </c>
      <c r="I17" s="198">
        <f>'E-EnvioRastreo'!H7</f>
        <v/>
      </c>
      <c r="J17" s="197" t="inlineStr">
        <is>
          <t>Generar excepción indicando qué campo no cumple con el formato o es obligatorio.</t>
        </is>
      </c>
      <c r="K17" s="209" t="inlineStr">
        <is>
          <t>Detener operación</t>
        </is>
      </c>
    </row>
    <row r="18" ht="75.75" customHeight="1" s="354">
      <c r="A18" s="382" t="n"/>
      <c r="B18" s="366" t="n"/>
      <c r="C18" s="366" t="n"/>
      <c r="D18" s="366" t="n"/>
      <c r="E18" s="366" t="n"/>
      <c r="F18" s="366" t="n"/>
      <c r="G18" s="366" t="n"/>
      <c r="H18" s="197">
        <f>'E-EnvioRastreo'!G8</f>
        <v/>
      </c>
      <c r="I18" s="198">
        <f>'E-EnvioRastreo'!H8</f>
        <v/>
      </c>
      <c r="J18" s="197" t="inlineStr">
        <is>
          <t>Generar excepción indicando que el envío asociado no se encuentra registrado.</t>
        </is>
      </c>
      <c r="K18" s="209" t="inlineStr">
        <is>
          <t>Detener operación</t>
        </is>
      </c>
    </row>
    <row r="19" ht="100.5" customHeight="1" s="354">
      <c r="A19" s="381" t="n"/>
      <c r="B19" s="365" t="n"/>
      <c r="C19" s="365" t="n"/>
      <c r="D19" s="365" t="n"/>
      <c r="E19" s="365" t="n"/>
      <c r="F19" s="365" t="n"/>
      <c r="G19" s="365" t="n"/>
      <c r="H19" s="197">
        <f>'E-EnvioRastreo'!G9</f>
        <v/>
      </c>
      <c r="I19" s="198">
        <f>'E-EnvioRastreo'!H9</f>
        <v/>
      </c>
      <c r="J19" s="197" t="inlineStr">
        <is>
          <t>Generar excepción indicando inconsistencia cronológica en la fecha del evento.</t>
        </is>
      </c>
      <c r="K19" s="209" t="inlineStr">
        <is>
          <t>Detener operación</t>
        </is>
      </c>
    </row>
    <row r="20" ht="169.5" customHeight="1" s="354">
      <c r="A20" s="217">
        <f>'E-EnvioRastreo'!B10</f>
        <v/>
      </c>
      <c r="B20" s="218">
        <f>'E-EnvioRastreo'!F10</f>
        <v/>
      </c>
      <c r="C20" s="218" t="inlineStr">
        <is>
          <t>idEnvio</t>
        </is>
      </c>
      <c r="D20" s="218" t="inlineStr">
        <is>
          <t>alfanumerico</t>
        </is>
      </c>
      <c r="E20" s="218" t="inlineStr">
        <is>
          <t>Identificador del envío del cual se requiere el historial de eventos.</t>
        </is>
      </c>
      <c r="F20" s="218" t="inlineStr">
        <is>
          <t>Lista&lt;EnvioRastreo&gt;</t>
        </is>
      </c>
      <c r="G20" s="218" t="inlineStr">
        <is>
          <t>Retorna una colección con los objetos de los eventos de rastreo encontrados.</t>
        </is>
      </c>
      <c r="H20" s="218">
        <f>'E-EnvioRastreo'!G10</f>
        <v/>
      </c>
      <c r="I20" s="218">
        <f>'E-Pagos'!H8</f>
        <v/>
      </c>
      <c r="J20" s="218" t="inlineStr">
        <is>
          <t>Generar excepción indicando acceso denegado por intentar visualizar el rastreo de un paquete ajeno.</t>
        </is>
      </c>
      <c r="K20" s="219" t="inlineStr">
        <is>
          <t>Detener operación</t>
        </is>
      </c>
    </row>
    <row r="21" ht="15.75" customHeight="1" s="354"/>
    <row r="22" ht="15.75" customHeight="1" s="354"/>
    <row r="23" ht="15.75" customHeight="1" s="354"/>
  </sheetData>
  <mergeCells count="18">
    <mergeCell ref="F17:F19"/>
    <mergeCell ref="B17:B19"/>
    <mergeCell ref="E17:E19"/>
    <mergeCell ref="G17:G19"/>
    <mergeCell ref="A12:A13"/>
    <mergeCell ref="A17:A19"/>
    <mergeCell ref="B12:B13"/>
    <mergeCell ref="F15:G15"/>
    <mergeCell ref="C17:C19"/>
    <mergeCell ref="J15:K15"/>
    <mergeCell ref="H15:I15"/>
    <mergeCell ref="A15:A16"/>
    <mergeCell ref="D17:D19"/>
    <mergeCell ref="A1:B1"/>
    <mergeCell ref="G1:J1"/>
    <mergeCell ref="D1:F1"/>
    <mergeCell ref="C15:E15"/>
    <mergeCell ref="B15:B16"/>
  </mergeCells>
  <hyperlinks>
    <hyperlink xmlns:r="http://schemas.openxmlformats.org/officeDocument/2006/relationships" ref="A1" location="'Modelo%20de%20dominio'!A1" display="applewebdata://4A31782C-94C9-40BA-AD06-77312C4F13C1/ - 'Modelo%20de%20dominio'!A1" r:id="rId1"/>
    <hyperlink xmlns:r="http://schemas.openxmlformats.org/officeDocument/2006/relationships" ref="D1" location="ListadoObjetosDominio!A1" display="applewebdata://4A31782C-94C9-40BA-AD06-77312C4F13C1/ - ListadoObjetosDominio!A1" r:id="rId2"/>
    <hyperlink xmlns:r="http://schemas.openxmlformats.org/officeDocument/2006/relationships" ref="G1" location="'C-ImagenProducto '!A1" display="applewebdata://4A31782C-94C9-40BA-AD06-77312C4F13C1/ - 'C-ImagenProducto '!A1" r:id="rId3"/>
    <hyperlink ref="V4" location="'C-ImagenProducto '!A15" display="'C-ImagenProducto '!A15"/>
    <hyperlink ref="D6" location="'M-Envio'!B2" display="&lt;Envio&gt;"/>
    <hyperlink ref="A20" location="RANGE!W4" display="Eliminar de forma definitiva la información de un nuevo País"/>
  </hyperlinks>
  <pageMargins left="0.7" right="0.7" top="0.75" bottom="0.75" header="0.3" footer="0.3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E4" workbookViewId="0">
      <selection activeCell="H10" sqref="H10"/>
    </sheetView>
  </sheetViews>
  <sheetFormatPr baseColWidth="8" defaultColWidth="8.875" defaultRowHeight="15"/>
  <cols>
    <col width="15" customWidth="1" style="359" min="1" max="1"/>
    <col width="25" customWidth="1" style="359" min="2" max="2"/>
    <col width="35" customWidth="1" style="359" min="3" max="3"/>
    <col width="15" customWidth="1" style="359" min="4" max="4"/>
    <col width="25" customWidth="1" style="359" min="5" max="5"/>
    <col width="35" customWidth="1" style="359" min="6" max="6"/>
    <col width="10" customWidth="1" style="359" min="7" max="7"/>
    <col width="35" customWidth="1" style="359" min="8" max="8"/>
    <col width="15" customWidth="1" style="359" min="9" max="9"/>
    <col width="20" customWidth="1" style="359" min="10" max="10"/>
    <col width="30" customWidth="1" style="359" min="11" max="11"/>
    <col width="8.875" customWidth="1" style="359" min="12" max="16384"/>
  </cols>
  <sheetData>
    <row r="1">
      <c r="A1" s="83" t="inlineStr">
        <is>
          <t>&lt;&lt; Ir al modelo de dominio</t>
        </is>
      </c>
      <c r="E1" s="83" t="inlineStr">
        <is>
          <t>&lt;&lt; Ir al listado de objetos de dominio</t>
        </is>
      </c>
      <c r="I1" s="83" t="inlineStr">
        <is>
          <t>&lt;&lt; Ir a la caracterización del objeto de dominio</t>
        </is>
      </c>
    </row>
    <row r="2">
      <c r="A2" s="82" t="inlineStr">
        <is>
          <t>Objeto de Dominio:</t>
        </is>
      </c>
      <c r="B2" s="350">
        <f>ListadoObjetosDominio!B18</f>
        <v/>
      </c>
      <c r="C2" s="361" t="n"/>
      <c r="D2" s="361" t="n"/>
      <c r="E2" s="361" t="n"/>
      <c r="F2" s="361" t="n"/>
      <c r="G2" s="361" t="n"/>
      <c r="H2" s="361" t="n"/>
      <c r="I2" s="361" t="n"/>
      <c r="J2" s="361" t="n"/>
      <c r="K2" s="91" t="n"/>
    </row>
    <row r="3">
      <c r="A3" s="82" t="inlineStr">
        <is>
          <t>Descripción:</t>
        </is>
      </c>
      <c r="B3" s="358">
        <f>ListadoObjetosDominio!C18</f>
        <v/>
      </c>
      <c r="C3" s="378" t="n"/>
      <c r="D3" s="378" t="n"/>
      <c r="E3" s="378" t="n"/>
      <c r="F3" s="378" t="n"/>
      <c r="G3" s="378" t="n"/>
      <c r="H3" s="378" t="n"/>
      <c r="I3" s="378" t="n"/>
      <c r="J3" s="378" t="n"/>
      <c r="K3" s="377" t="n"/>
    </row>
    <row r="4" ht="32.1" customHeight="1" s="354">
      <c r="A4" s="247" t="inlineStr">
        <is>
          <t>Actor</t>
        </is>
      </c>
      <c r="B4" s="248" t="inlineStr">
        <is>
          <t>Action/Command</t>
        </is>
      </c>
      <c r="C4" s="91" t="n"/>
      <c r="D4" s="249" t="inlineStr">
        <is>
          <t>Entity/Aggregate/Object domain</t>
        </is>
      </c>
      <c r="E4" s="242" t="inlineStr">
        <is>
          <t>Read Model</t>
        </is>
      </c>
      <c r="F4" s="91" t="n"/>
      <c r="G4" s="262" t="inlineStr">
        <is>
          <t>Business Rule/Policy</t>
        </is>
      </c>
      <c r="H4" s="91" t="n"/>
      <c r="I4" s="238" t="inlineStr">
        <is>
          <t>External System</t>
        </is>
      </c>
      <c r="J4" s="239" t="inlineStr">
        <is>
          <t>Domain Event</t>
        </is>
      </c>
      <c r="K4" s="240" t="inlineStr">
        <is>
          <t>Hotspot/questions/Risk</t>
        </is>
      </c>
    </row>
    <row r="5">
      <c r="A5" s="247" t="inlineStr">
        <is>
          <t>Actor</t>
        </is>
      </c>
      <c r="B5" s="248" t="inlineStr">
        <is>
          <t>Acción</t>
        </is>
      </c>
      <c r="C5" s="248" t="inlineStr">
        <is>
          <t>Descripción</t>
        </is>
      </c>
      <c r="D5" s="249" t="inlineStr">
        <is>
          <t>Objeto de dominio</t>
        </is>
      </c>
      <c r="E5" s="242" t="inlineStr">
        <is>
          <t>Información externa</t>
        </is>
      </c>
      <c r="F5" s="91" t="n"/>
      <c r="G5" s="262" t="inlineStr">
        <is>
          <t>Políticas</t>
        </is>
      </c>
      <c r="H5" s="91" t="n"/>
      <c r="I5" s="238" t="inlineStr">
        <is>
          <t>Sistema Externo</t>
        </is>
      </c>
      <c r="J5" s="239" t="inlineStr">
        <is>
          <t>Evento</t>
        </is>
      </c>
      <c r="K5" s="240" t="inlineStr">
        <is>
          <t>Aspectos por solucionar</t>
        </is>
      </c>
    </row>
    <row r="6" ht="15.95" customHeight="1" s="354">
      <c r="A6" s="362" t="n"/>
      <c r="B6" s="362" t="n"/>
      <c r="C6" s="362" t="n"/>
      <c r="D6" s="362" t="n"/>
      <c r="E6" s="242" t="inlineStr">
        <is>
          <t>Información</t>
        </is>
      </c>
      <c r="F6" s="242" t="inlineStr">
        <is>
          <t>Descripción</t>
        </is>
      </c>
      <c r="G6" s="262" t="inlineStr">
        <is>
          <t>Número</t>
        </is>
      </c>
      <c r="H6" s="262" t="inlineStr">
        <is>
          <t>Descripción</t>
        </is>
      </c>
      <c r="I6" s="362" t="n"/>
      <c r="J6" s="362" t="n"/>
      <c r="K6" s="362" t="n"/>
    </row>
    <row r="7" ht="50.1" customHeight="1" s="354">
      <c r="A7" s="266" t="inlineStr">
        <is>
          <t>Sistema  / Administrador</t>
        </is>
      </c>
      <c r="B7" s="266" t="inlineStr">
        <is>
          <t>Registrar novedad de rastreo</t>
        </is>
      </c>
      <c r="C7" s="266" t="inlineStr">
        <is>
          <t>Agregar un nuevo hito o punto de control físico a la línea de tiempo del paquete.</t>
        </is>
      </c>
      <c r="D7" s="266">
        <f>ListadoObjetosDominio!B18</f>
        <v/>
      </c>
      <c r="E7" s="266" t="inlineStr">
        <is>
          <t>idEnvio, estadoLogistico, fechaHora, observacion</t>
        </is>
      </c>
      <c r="F7" s="266" t="inlineStr">
        <is>
          <t>Formulario manual o endpoint automático que recibe la ubicación actual del paquete.</t>
        </is>
      </c>
      <c r="G7" s="74" t="inlineStr">
        <is>
          <t>RAST-POL-01</t>
        </is>
      </c>
      <c r="H7" s="74" t="inlineStr">
        <is>
          <t>Asegurar que los datos requeridos sean válidos a nivel de tipo, formato, longitud y obligatoriedad.</t>
        </is>
      </c>
      <c r="I7" s="266" t="inlineStr">
        <is>
          <t xml:space="preserve">API de Transportadora </t>
        </is>
      </c>
      <c r="J7" s="266" t="inlineStr">
        <is>
          <t>Novedad de rastreo registrada</t>
        </is>
      </c>
      <c r="K7" s="266" t="inlineStr">
        <is>
          <t>Eventos desordenados (Out-of-order): ¿Qué pasa si por un retraso de red llega primero el evento "Entregado" y 5 minutos después llega el evento "En reparto"?</t>
        </is>
      </c>
    </row>
    <row r="8" ht="50.1" customHeight="1" s="354">
      <c r="A8" s="363" t="n"/>
      <c r="B8" s="363" t="n"/>
      <c r="C8" s="363" t="n"/>
      <c r="D8" s="363" t="n"/>
      <c r="E8" s="363" t="n"/>
      <c r="F8" s="363" t="n"/>
      <c r="G8" s="74" t="inlineStr">
        <is>
          <t>RAST-POL-02</t>
        </is>
      </c>
      <c r="H8" s="74" t="inlineStr">
        <is>
          <t>El idEnvio asociado debe existir previamente en el sistema.</t>
        </is>
      </c>
      <c r="I8" s="363" t="n"/>
      <c r="J8" s="363" t="n"/>
      <c r="K8" s="363" t="n"/>
    </row>
    <row r="9" ht="50.1" customHeight="1" s="354">
      <c r="A9" s="362" t="n"/>
      <c r="B9" s="362" t="n"/>
      <c r="C9" s="362" t="n"/>
      <c r="D9" s="362" t="n"/>
      <c r="E9" s="362" t="n"/>
      <c r="F9" s="362" t="n"/>
      <c r="G9" s="74" t="inlineStr">
        <is>
          <t>RAST-POL-03</t>
        </is>
      </c>
      <c r="H9" s="74" t="inlineStr">
        <is>
          <t>La fechaHora no puede ser inferior a la fecha de despacho original del envío.</t>
        </is>
      </c>
      <c r="I9" s="362" t="n"/>
      <c r="J9" s="362" t="n"/>
      <c r="K9" s="362" t="n"/>
    </row>
    <row r="10" ht="43.5" customHeight="1" s="354">
      <c r="A10" s="74" t="inlineStr">
        <is>
          <t>Cliente / Administrador</t>
        </is>
      </c>
      <c r="B10" s="74" t="inlineStr">
        <is>
          <t>Consultar historial de rastreo</t>
        </is>
      </c>
      <c r="C10" s="74" t="inlineStr">
        <is>
          <t>Listar cronológicamente todas las novedades y ubicaciones por las que ha pasado el paquete.</t>
        </is>
      </c>
      <c r="D10" s="74">
        <f>ListadoObjetosDominio!B18</f>
        <v/>
      </c>
      <c r="E10" s="74" t="inlineStr">
        <is>
          <t>idEvento, idEnvio, estadoLogistico, fechaHora, observacion</t>
        </is>
      </c>
      <c r="F10" s="74" t="inlineStr">
        <is>
          <t>Línea de tiempo (Timeline) visual en la interfaz del cliente para monitorear su compra.</t>
        </is>
      </c>
      <c r="G10" s="74" t="inlineStr">
        <is>
          <t>RAST-POL-04</t>
        </is>
      </c>
      <c r="H10" s="74" t="inlineStr">
        <is>
          <t>El cliente solo puede ver el historial de rastreo de los envíos que le pertenecen.</t>
        </is>
      </c>
      <c r="I10" s="74" t="n"/>
      <c r="J10" s="74" t="inlineStr">
        <is>
          <t>Historial de rastreo consultado</t>
        </is>
      </c>
      <c r="K10" s="74" t="inlineStr">
        <is>
          <t>N/A</t>
        </is>
      </c>
    </row>
  </sheetData>
  <mergeCells count="23">
    <mergeCell ref="J7:J9"/>
    <mergeCell ref="E5:F5"/>
    <mergeCell ref="E4:F4"/>
    <mergeCell ref="C7:C9"/>
    <mergeCell ref="E7:E9"/>
    <mergeCell ref="K7:K9"/>
    <mergeCell ref="B7:B9"/>
    <mergeCell ref="B3:K3"/>
    <mergeCell ref="I5:I6"/>
    <mergeCell ref="A5:A6"/>
    <mergeCell ref="F7:F9"/>
    <mergeCell ref="G5:H5"/>
    <mergeCell ref="B2:K2"/>
    <mergeCell ref="B5:B6"/>
    <mergeCell ref="D5:D6"/>
    <mergeCell ref="G4:H4"/>
    <mergeCell ref="K5:K6"/>
    <mergeCell ref="A7:A9"/>
    <mergeCell ref="J5:J6"/>
    <mergeCell ref="I7:I9"/>
    <mergeCell ref="D7:D9"/>
    <mergeCell ref="B4:C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 Angel Alvarez Benavides</dc:creator>
  <dcterms:created xsi:type="dcterms:W3CDTF">2026-03-06T00:36:45Z</dcterms:created>
  <dcterms:modified xsi:type="dcterms:W3CDTF">2026-05-22T03:10:37Z</dcterms:modified>
</cp:coreProperties>
</file>
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wsancheg\Downloads\"/>
    </mc:Choice>
  </mc:AlternateContent>
  <xr:revisionPtr revIDLastSave="0" documentId="13_ncr:1_{CDCA25EE-06D5-4ACD-8400-318FAACA025A}" xr6:coauthVersionLast="47" xr6:coauthVersionMax="47" xr10:uidLastSave="{00000000-0000-0000-0000-000000000000}"/>
  <bookViews>
    <workbookView xWindow="-110" yWindow="-110" windowWidth="19420" windowHeight="11500" firstSheet="8" activeTab="8" xr2:uid="{EE77E2DF-D8D4-4418-9F60-27BC8C6566F8}"/>
  </bookViews>
  <sheets>
    <sheet name="ModeloDominio" sheetId="1" r:id="rId1"/>
    <sheet name="ListadoObjetosDominio" sheetId="3" r:id="rId2"/>
    <sheet name="C-Ciudad" sheetId="10" r:id="rId3"/>
    <sheet name="M-Ciudad" sheetId="9" r:id="rId4"/>
    <sheet name="C-Departamento" sheetId="8" r:id="rId5"/>
    <sheet name="M-Departamento" sheetId="7" r:id="rId6"/>
    <sheet name="C-Dueno" sheetId="4" r:id="rId7"/>
    <sheet name="M-Dueno" sheetId="13" r:id="rId8"/>
    <sheet name="C-Pais" sheetId="6" r:id="rId9"/>
    <sheet name="E-Pais" sheetId="14" r:id="rId10"/>
    <sheet name="M-Pais" sheetId="5" r:id="rId11"/>
    <sheet name="C-TipoDocumentoIdentificacion" sheetId="12" r:id="rId12"/>
    <sheet name="M-TipoDocumentoIdentificacion" sheetId="1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4" l="1"/>
  <c r="D8" i="14"/>
  <c r="D7" i="14"/>
  <c r="B3" i="14"/>
  <c r="B2" i="14"/>
  <c r="C11" i="8"/>
  <c r="B10" i="8"/>
  <c r="A10" i="8"/>
  <c r="B7" i="8"/>
  <c r="B6" i="8"/>
  <c r="B5" i="8"/>
  <c r="A7" i="8"/>
  <c r="A6" i="8"/>
  <c r="A5" i="8"/>
  <c r="B3" i="8"/>
  <c r="B2" i="8"/>
  <c r="C10" i="8"/>
  <c r="C9" i="6"/>
  <c r="B9" i="6"/>
  <c r="A9" i="6"/>
  <c r="B3" i="6"/>
  <c r="B2" i="6"/>
  <c r="B6" i="6"/>
  <c r="B5" i="6"/>
  <c r="A6" i="6"/>
  <c r="A5" i="6"/>
  <c r="P9" i="13"/>
  <c r="P8" i="13"/>
  <c r="P7" i="13"/>
  <c r="O9" i="13"/>
  <c r="O8" i="13"/>
  <c r="O7" i="13"/>
  <c r="P6" i="13"/>
  <c r="O6" i="13"/>
  <c r="N6" i="13"/>
  <c r="K9" i="13"/>
  <c r="K8" i="13"/>
  <c r="K7" i="13"/>
  <c r="K6" i="13"/>
  <c r="B9" i="13"/>
  <c r="N9" i="13" s="1"/>
  <c r="B8" i="13"/>
  <c r="N8" i="13" s="1"/>
  <c r="B7" i="13"/>
  <c r="N7" i="13" s="1"/>
  <c r="B6" i="13"/>
  <c r="B3" i="13"/>
  <c r="B2" i="13"/>
  <c r="B3" i="11"/>
  <c r="B2" i="11"/>
  <c r="C10" i="11"/>
  <c r="C9" i="11"/>
  <c r="C8" i="11"/>
  <c r="C7" i="11"/>
  <c r="C6" i="11"/>
  <c r="B2" i="9"/>
  <c r="B3" i="9"/>
  <c r="D10" i="7"/>
  <c r="D9" i="7"/>
  <c r="C10" i="7"/>
  <c r="C9" i="7"/>
  <c r="B3" i="7"/>
  <c r="B2" i="7"/>
  <c r="C10" i="5"/>
  <c r="C9" i="5"/>
  <c r="C8" i="5"/>
  <c r="C7" i="5"/>
  <c r="C6" i="5"/>
  <c r="C6" i="7" s="1"/>
  <c r="D6" i="7" s="1"/>
  <c r="B3" i="5"/>
  <c r="B2" i="5"/>
  <c r="C10" i="9" l="1"/>
  <c r="D10" i="9" s="1"/>
  <c r="C9" i="9"/>
  <c r="D9" i="9" s="1"/>
  <c r="C6" i="9"/>
  <c r="D6" i="9" s="1"/>
  <c r="C7" i="7"/>
  <c r="D7" i="7" s="1"/>
  <c r="C7" i="9" s="1"/>
  <c r="D7" i="9" s="1"/>
  <c r="C8" i="7"/>
  <c r="D8" i="7" s="1"/>
  <c r="C8" i="9" s="1"/>
  <c r="D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WIDER FARID SANCHEZ GARZON</author>
  </authors>
  <commentList>
    <comment ref="A4" authorId="0" shapeId="0" xr:uid="{69E7A00A-2807-4CA3-A3EB-DD63087E6B49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nombre del atributo del objeto de dominio</t>
        </r>
      </text>
    </comment>
    <comment ref="B4" authorId="0" shapeId="0" xr:uid="{1E1F733F-A48C-48C5-8DEF-EBE86A1833D6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 la descripción del atributo del objeto de dominio</t>
        </r>
      </text>
    </comment>
    <comment ref="C4" authorId="0" shapeId="0" xr:uid="{85F689AC-ED35-4F03-8F8B-412D56411B3A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atributo único que identifica al objeto de dominio. Sólo puede ser únicamente uno.</t>
        </r>
      </text>
    </comment>
    <comment ref="D4" authorId="0" shapeId="0" xr:uid="{2C833F93-AD6B-4C11-AC2E-47CBE5CD597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tipo de dato del atributo:
-LÓGICO (VERDADERO/FALSO)
-CARÁCTER (SÓLO UN CARÁCTER)
-TEXTO (CUALQUIER CARÁCTER A-Za-z Y ESPACIOS)
-ALFANUMÉRICO (CUALQUIER COMBINACIÓN DE CARACTERES)
-NUMÉRICO ENTERO (CUALQUIER NÚMERO ENTERO)
-NUMÉRICO DECIMAL (CUALQUIER NÚMERO DECIMAL)
-FECHA (CUALQUIER FECHA VÁLIDA)
-FECHA/HORA (CUALQUIER FECHA HORA VÁLIDA)
-&lt;OBJETO DE DOMINIO&gt; (CUALQUIER OBJETO DE DOMINIO DEL PROBLEMA)</t>
        </r>
      </text>
    </comment>
    <comment ref="E4" authorId="0" shapeId="0" xr:uid="{CCB248AE-20BF-4872-B31A-798F25D4027F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si el atributo es o no obligatorio.</t>
        </r>
      </text>
    </comment>
    <comment ref="F4" authorId="0" shapeId="0" xr:uid="{C698DED7-959B-46A9-9CA3-323C5D061861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longitud mínima de un atributo si aplica. Sólo permite números mayores o iguales a 0. Sólo aplica para datos de tipo texto (carácter, texto o alfanumérico)</t>
        </r>
      </text>
    </comment>
    <comment ref="G4" authorId="0" shapeId="0" xr:uid="{9EB80F80-2E87-47FC-A9F5-DB023E4FEFC3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longitud máxima de un atributo si aplica. Sólo permite números mayores o iguales a 0. Sólo aplica para datos de tipo texto (carácter, texto o alfanumérico)</t>
        </r>
      </text>
    </comment>
    <comment ref="H4" authorId="0" shapeId="0" xr:uid="{9EE10F2E-DA8C-4184-B73E-0340571EEAA7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cantidad de decimales máxima que puede tener un atributo de tipo de dato Numérico Decimal.</t>
        </r>
      </text>
    </comment>
    <comment ref="I4" authorId="0" shapeId="0" xr:uid="{20DEF898-C3AD-416D-B559-E3D06A1C66F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Sólo aplica para tipos de datos Numérico Decimal cuano se indique explícitamente. Las opciones válidas son:
-Hacia arriba: Se debe redondear a la cifra hacia arriba más próxima, según la precisión indicada.
-Hacia abajo: Se debe redondear a la cifra hacia abajo más próxima, según la precisión indicada.
-Truncamiento: Se debe recortar el número con exactamene el número de decimales definidos en la precisión.</t>
        </r>
      </text>
    </comment>
    <comment ref="J4" authorId="0" shapeId="0" xr:uid="{1668CD89-0327-4723-8320-367A168D7889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rango inicial a partir es válido el valor de un atributo. Sólo aplica para tipos de datos numéricos.</t>
        </r>
      </text>
    </comment>
    <comment ref="K4" authorId="0" shapeId="0" xr:uid="{5A67BEB1-2C5A-40DF-A15C-F47B838FE2D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rango final hasta el cual es válido el valor de un atributo. Sólo aplica para tipos de datos numéricos.</t>
        </r>
      </text>
    </comment>
    <comment ref="L4" authorId="0" shapeId="0" xr:uid="{A62C0139-6362-4B5A-ADC6-DCF8ECA75375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para datos de tipo texto (carácter, texto, alfanumérico) e indica el formato específico que debe tener el valor del atributo para que sea considerado válido.</t>
        </r>
      </text>
    </comment>
    <comment ref="M4" authorId="0" shapeId="0" xr:uid="{E3DEC658-DD0A-490A-AB52-51480F6E8D62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cuando el valor del atributo depende de reglas especiales, o su valor está en función de un cálculo de otros atributos.</t>
        </r>
      </text>
    </comment>
    <comment ref="N4" authorId="0" shapeId="0" xr:uid="{07A2D5B7-0ECF-4D28-A13C-DCFC90A82118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Indica si el atributo contiene un valor que es calculado automática en tiempo real.</t>
        </r>
      </text>
    </comment>
    <comment ref="O4" authorId="0" shapeId="0" xr:uid="{0E853618-5C60-4CDB-AF8A-42914B40B968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Aplica sólo para datos de tipo texto (carácter, texto y alfanumérico) e indica si el dato se debe ajustar a una longitud igual siempre con un carácter o patró de ajuste específico.
Si aplica el ajuste, se debe indicar en las reglas especiales qué tipo de ajuste se debe llevar a cabo.</t>
        </r>
      </text>
    </comment>
    <comment ref="P4" authorId="0" shapeId="0" xr:uid="{2CE952A8-FA3A-41BB-8E0E-F6B780F48FC1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En caso de que aplique ajuste, se debe indicar con qué carácter se ajusta el dato</t>
        </r>
      </text>
    </comment>
    <comment ref="Q4" authorId="0" shapeId="0" xr:uid="{42BBEAAC-68CB-42D2-B99C-1F25AC5B47A5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Aplica sólo para datos de tipo texto (carácter, texto, alfanumérico) e indica si se deben quitar los espacios en blanco al inicio de la cadena.</t>
        </r>
      </text>
    </comment>
    <comment ref="R4" authorId="0" shapeId="0" xr:uid="{C44EA47A-EA8F-4CCE-9E6C-27642EBC6EB1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Aplica sólo para datos de tipo texto (carácter, texto, alfanumérico) e indica si se deben quitar los espacios en blanco al final de la cadena.</t>
        </r>
      </text>
    </comment>
    <comment ref="S4" authorId="0" shapeId="0" xr:uid="{54659202-3C5D-4E53-930F-3013A590E017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Corresponde a un dato que debe tener un manejo o tratamiento especifico para asegurar su acceso e integridad.</t>
        </r>
      </text>
    </comment>
    <comment ref="T4" authorId="0" shapeId="0" xr:uid="{ABDC3663-7A1B-4E9D-96C2-93BFF2E5F170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Indica el valor que se debe asignar al atributo en caso de que no sea ingresado de forma directa.</t>
        </r>
      </text>
    </comment>
    <comment ref="U4" authorId="0" shapeId="0" xr:uid="{6AEA1F64-DDC6-4372-A494-505C49A0A0A1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Indica si el valor se genera de forma automática sin invervención de un tercero (usuario, otro sistema)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WIDER FARID SANCHEZ GARZON</author>
  </authors>
  <commentList>
    <comment ref="A4" authorId="0" shapeId="0" xr:uid="{EB43EBE9-00D6-4C1C-B022-E2BF9AD48C09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nombre del atributo del objeto de dominio</t>
        </r>
      </text>
    </comment>
    <comment ref="B4" authorId="0" shapeId="0" xr:uid="{441E3598-C5B5-4974-8F8D-0EA779F8E20C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 la descripción del atributo del objeto de dominio</t>
        </r>
      </text>
    </comment>
    <comment ref="C4" authorId="0" shapeId="0" xr:uid="{BD4A14E5-F471-4CA8-AD3E-1C9ACE703A56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atributo único que identifica al objeto de dominio. Sólo puede ser únicamente uno.</t>
        </r>
      </text>
    </comment>
    <comment ref="D4" authorId="0" shapeId="0" xr:uid="{A132EF76-F35B-44C7-BE65-C1CFBD28ACF4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tipo de dato del atributo:
-LÓGICO (VERDADERO/FALSO)
-CARÁCTER (SÓLO UN CARÁCTER)
-TEXTO (CUALQUIER CARÁCTER A-Za-z Y ESPACIOS)
-ALFANUMÉRICO (CUALQUIER COMBINACIÓN DE CARACTERES)
-NUMÉRICO ENTERO (CUALQUIER NÚMERO ENTERO)
-NUMÉRICO DECIMAL (CUALQUIER NÚMERO DECIMAL)
-FECHA (CUALQUIER FECHA VÁLIDA)
-FECHA/HORA (CUALQUIER FECHA HORA VÁLIDA)
-&lt;OBJETO DE DOMINIO&gt; (CUALQUIER OBJETO DE DOMINIO DEL PROBLEMA)</t>
        </r>
      </text>
    </comment>
    <comment ref="E4" authorId="0" shapeId="0" xr:uid="{584CF611-B249-4054-8D09-E566DD52C2B9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si el atributo es o no obligatorio.</t>
        </r>
      </text>
    </comment>
    <comment ref="F4" authorId="0" shapeId="0" xr:uid="{70D54734-BDD1-4D53-8FE9-A0141F60378F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longitud mínima de un atributo si aplica. Sólo permite números mayores o iguales a 0. Sólo aplica para datos de tipo texto (carácter, texto o alfanumérico)</t>
        </r>
      </text>
    </comment>
    <comment ref="G4" authorId="0" shapeId="0" xr:uid="{81F62E0F-190E-4EC7-8B45-6101D4736A8B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longitud máxima de un atributo si aplica. Sólo permite números mayores o iguales a 0. Sólo aplica para datos de tipo texto (carácter, texto o alfanumérico)</t>
        </r>
      </text>
    </comment>
    <comment ref="H4" authorId="0" shapeId="0" xr:uid="{63FD4D5E-2439-4B80-BB7A-74FF07397907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cantidad de decimales máxima que puede tener un atributo de tipo de dato Numérico Decimal.</t>
        </r>
      </text>
    </comment>
    <comment ref="I4" authorId="0" shapeId="0" xr:uid="{8F509CE3-DCA6-4B5F-ACF3-9551ED566798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Sólo aplica para tipos de datos Numérico Decimal cuano se indique explícitamente. Las opciones válidas son:
-Hacia arriba: Se debe redondear a la cifra hacia arriba más próxima, según la precisión indicada.
-Hacia abajo: Se debe redondear a la cifra hacia abajo más próxima, según la precisión indicada.
-Truncamiento: Se debe recortar el número con exactamene el número de decimales definidos en la precisión.</t>
        </r>
      </text>
    </comment>
    <comment ref="J4" authorId="0" shapeId="0" xr:uid="{4AF03006-79DE-4631-B2E8-DEC18075069F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rango inicial a partir es válido el valor de un atributo. Sólo aplica para tipos de datos numéricos.</t>
        </r>
      </text>
    </comment>
    <comment ref="K4" authorId="0" shapeId="0" xr:uid="{4FBA1201-A185-4BF0-BBB8-248664D45722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rango final hasta el cual es válido el valor de un atributo. Sólo aplica para tipos de datos numéricos.</t>
        </r>
      </text>
    </comment>
    <comment ref="L4" authorId="0" shapeId="0" xr:uid="{0834D44B-67E8-4045-8E89-5FA0F6E87E00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para datos de tipo texto (carácter, texto, alfanumérico) e indica el formato específico que debe tener el valor del atributo para que sea considerado válido.</t>
        </r>
      </text>
    </comment>
    <comment ref="M4" authorId="0" shapeId="0" xr:uid="{9246DB37-A037-4F01-9ED2-E873B43A67EE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cuando el valor del atributo depende de reglas especiales, o su valor está en función de un cálculo de otros atributos.</t>
        </r>
      </text>
    </comment>
    <comment ref="N4" authorId="0" shapeId="0" xr:uid="{F7D6FE98-C5D1-4FFB-91C3-2A4592A3844F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Indica si el atributo contiene un valor que es calculado automática en tiempo real.</t>
        </r>
      </text>
    </comment>
    <comment ref="O4" authorId="0" shapeId="0" xr:uid="{FC8BC456-9FE3-4A51-819D-1E7A9B1910B3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Aplica sólo para datos de tipo texto (carácter, texto y alfanumérico) e indica si el dato se debe ajustar a una longitud igual siempre con un carácter o patró de ajuste específico.
Si aplica el ajuste, se debe indicar en las reglas especiales qué tipo de ajuste se debe llevar a cabo.</t>
        </r>
      </text>
    </comment>
    <comment ref="P4" authorId="0" shapeId="0" xr:uid="{8048125E-06B4-4394-98D4-9011F18A2156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En caso de que aplique ajuste, se debe indicar con qué carácter se ajusta el dato</t>
        </r>
      </text>
    </comment>
    <comment ref="Q4" authorId="0" shapeId="0" xr:uid="{3D4FFCDF-EA79-4A39-AF68-0CC7E57C89DE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Aplica sólo para datos de tipo texto (carácter, texto, alfanumérico) e indica si se deben quitar los espacios en blanco al inicio de la cadena.</t>
        </r>
      </text>
    </comment>
    <comment ref="R4" authorId="0" shapeId="0" xr:uid="{C8E62157-6E56-4D01-8BD1-FBD7792AAD9A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Aplica sólo para datos de tipo texto (carácter, texto, alfanumérico) e indica si se deben quitar los espacios en blanco al final de la cadena.</t>
        </r>
      </text>
    </comment>
    <comment ref="S4" authorId="0" shapeId="0" xr:uid="{7ECE62C9-9A8B-4EFF-A2AA-8AC2C480DD27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Corresponde a un dato que debe tener un manejo o tratamiento especifico para asegurar su acceso e integridad.</t>
        </r>
      </text>
    </comment>
    <comment ref="T4" authorId="0" shapeId="0" xr:uid="{15067BCB-F8D8-4A5D-9525-1767B677C94B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Indica el valor que se debe asignar al atributo en caso de que no sea ingresado de forma directa.</t>
        </r>
      </text>
    </comment>
    <comment ref="U4" authorId="0" shapeId="0" xr:uid="{3A700F7C-28B5-4660-A308-3AAB7C80BB0A}">
      <text>
        <r>
          <rPr>
            <b/>
            <sz val="9"/>
            <color indexed="81"/>
            <rFont val="Tahoma"/>
            <charset val="1"/>
          </rPr>
          <t>WIDER FARID SANCHEZ GARZON:</t>
        </r>
        <r>
          <rPr>
            <sz val="9"/>
            <color indexed="81"/>
            <rFont val="Tahoma"/>
            <charset val="1"/>
          </rPr>
          <t xml:space="preserve">
Indica si el valor se genera de forma automática sin invervención de un tercero (usuario, otro sistema)</t>
        </r>
      </text>
    </comment>
  </commentList>
</comments>
</file>

<file path=xl/sharedStrings.xml><?xml version="1.0" encoding="utf-8"?>
<sst xmlns="http://schemas.openxmlformats.org/spreadsheetml/2006/main" count="415" uniqueCount="213">
  <si>
    <t>Ir al listado de objetos de dominio &gt;&gt;</t>
  </si>
  <si>
    <t>&lt;&lt;Ir al modelo de dominio</t>
  </si>
  <si>
    <t>Línea de vida</t>
  </si>
  <si>
    <t>Nombre</t>
  </si>
  <si>
    <t>Descripción</t>
  </si>
  <si>
    <t>Muestreo de datos</t>
  </si>
  <si>
    <t>Caracterización objeto</t>
  </si>
  <si>
    <t>Pais</t>
  </si>
  <si>
    <t>Objeto de dominio que representa a cada uno de los países a los que pertenecen los departamentos y ciudades donde están ubicadas las sedes de la veterinaria y donde también pueden vivir los dueños</t>
  </si>
  <si>
    <t>Ir</t>
  </si>
  <si>
    <t>Representante</t>
  </si>
  <si>
    <t>Objeto de dominio que representa a la persona autorizada para llevar mascotas a la veterinaria en nombre su respectivo dueño.</t>
  </si>
  <si>
    <t>TipoDocumentoIdentificacion</t>
  </si>
  <si>
    <t>Objeto de dominio que representa a cada uno de los tipos de identificación que pueden tener los dueños de las mascotas</t>
  </si>
  <si>
    <t>Departamento</t>
  </si>
  <si>
    <t>Objeto de dominio que representa a cada uno de los departamentos de un país, donde se encuentran las ciudades donde están ubicadas las sedes de la veterinaria y donde también pueden vivir los dueños</t>
  </si>
  <si>
    <t>Ciudad</t>
  </si>
  <si>
    <t>Objeto de dominio que representa a cada una de las ciudades de los departamentos de un país, donde se encuentran  las sedes de la veterinaria y donde también pueden vivir los dueños</t>
  </si>
  <si>
    <t>Dueno</t>
  </si>
  <si>
    <t>Objeto de dominio que representa a cada uno de los dueños que tienen mascotas, que pueden ser representadas por un tercero, para visitar a la veterinaria.</t>
  </si>
  <si>
    <t>Mascota</t>
  </si>
  <si>
    <t>Objeto de dominio que representa a cada una de las mascotas que pueden ser representadas por un tercero en nombre de su dueño para visitar a la veterinaria.</t>
  </si>
  <si>
    <t>RepresentanteMascota</t>
  </si>
  <si>
    <t>Objeto de dominio que representa a cada una de las mascotas con los respectivos representantes autorizados para representar al dueño ante la veterinaria.</t>
  </si>
  <si>
    <t>&lt;&lt; Ir al modelo de dominio</t>
  </si>
  <si>
    <t>&lt;&lt; Ir al listado de objetos de dominio</t>
  </si>
  <si>
    <t>Ir al muestreo de datos del objeto de dominio &gt;&gt;</t>
  </si>
  <si>
    <t>&lt;&lt; Ir a la caracterización del objeto de dominio</t>
  </si>
  <si>
    <t>Nombre:</t>
  </si>
  <si>
    <t>Descripción:</t>
  </si>
  <si>
    <t>Representa el identificador único de cada objeto de dominio.</t>
  </si>
  <si>
    <t>Representa el nombre de cada una de las ciudades pertenecientes a los despartamentos de los países en los cuales pueden estar presentes los dueños y la veterinaria</t>
  </si>
  <si>
    <t>Representa el objeto de dominio Departamento de los países al que pertenece una ciudad donde pueden estar ubicados los dueños y la veterinaria</t>
  </si>
  <si>
    <t>Indica que no pueden existir dos ciudades o más con el mismo nombre dentro de un mismo departamento</t>
  </si>
  <si>
    <t>id</t>
  </si>
  <si>
    <t>nombre</t>
  </si>
  <si>
    <t>departamento</t>
  </si>
  <si>
    <t>Combinación única 1</t>
  </si>
  <si>
    <t>Rionegro</t>
  </si>
  <si>
    <t>Riohacha</t>
  </si>
  <si>
    <t>Bogotá</t>
  </si>
  <si>
    <t>El Retiro</t>
  </si>
  <si>
    <t>La Ceja</t>
  </si>
  <si>
    <t>Corresponde a los datos generales del objeto de dominio (nombre, descripción)</t>
  </si>
  <si>
    <t>Corresponde a las descripciones de los atributos</t>
  </si>
  <si>
    <t>Coresponde al nombre de los atributos</t>
  </si>
  <si>
    <t>Corresponde a los datos que son de libre ingreso</t>
  </si>
  <si>
    <t>Corresponde a los datos que se generarán automáticamente</t>
  </si>
  <si>
    <t>Corresponde a la combinación única 1</t>
  </si>
  <si>
    <t>Corresponde a referencias a otros objetos de dominio</t>
  </si>
  <si>
    <t>Nombre atributo</t>
  </si>
  <si>
    <t>Descripción atributo</t>
  </si>
  <si>
    <t>Identificador del objeto de dominio</t>
  </si>
  <si>
    <t>Tipo de dato</t>
  </si>
  <si>
    <t>Obligatorio</t>
  </si>
  <si>
    <t>Longitud mínima (si aplica)</t>
  </si>
  <si>
    <t>Longitud máxima (si aplica)</t>
  </si>
  <si>
    <t>Precisión (si aplica)</t>
  </si>
  <si>
    <t>Rendondeo (si aplica)</t>
  </si>
  <si>
    <t>Rango inicial (si aplica)</t>
  </si>
  <si>
    <t>Rango final (si aplica)</t>
  </si>
  <si>
    <t>Formato (si aplica)</t>
  </si>
  <si>
    <t>Reglas especiales (si aplica)</t>
  </si>
  <si>
    <t>Dato calculado</t>
  </si>
  <si>
    <t>Aplica ajuste del dato (si aplica)</t>
  </si>
  <si>
    <t>Carácter de ajuste (si aplica)</t>
  </si>
  <si>
    <t>Quitar espacios en blanco al inicio (si aplica)</t>
  </si>
  <si>
    <t>Quitar espacios en blanco al fin (si aplica)</t>
  </si>
  <si>
    <t>Dato sensible (si aplica)</t>
  </si>
  <si>
    <t>Valor por defecto (si aplica)</t>
  </si>
  <si>
    <t>Auto generado</t>
  </si>
  <si>
    <t>Si</t>
  </si>
  <si>
    <t>Identificador único universal</t>
  </si>
  <si>
    <t>No</t>
  </si>
  <si>
    <t>Alfanumérico</t>
  </si>
  <si>
    <t>Se debe asegurar una sanitización del dato, para garantizar que dentro de su contenido no tenga cualquier tipo de intento de ataque o instrucción maliciosa.</t>
  </si>
  <si>
    <t>Aplican las reglas del objeto referenciado.</t>
  </si>
  <si>
    <t>Nombre combinación única</t>
  </si>
  <si>
    <t>Atributos involucrados</t>
  </si>
  <si>
    <t>Representa el nombre de cada uno de los departamentos pertenecientes a los países en los cuales pueden estar presentes los dueños y la veterinaria</t>
  </si>
  <si>
    <t>Representa el objeto de dominio Pais al que pertenece un departamento donde pueden estar ubicados los dueños y la veterinaria</t>
  </si>
  <si>
    <t>Indica que no pueden existir dos departamentos o más con el mismo nombre dentro de un mismo país</t>
  </si>
  <si>
    <t>pais</t>
  </si>
  <si>
    <t>Antioquia</t>
  </si>
  <si>
    <t>Guajira</t>
  </si>
  <si>
    <t>Cundinamarca</t>
  </si>
  <si>
    <t>Andalgalá</t>
  </si>
  <si>
    <t>Angaco</t>
  </si>
  <si>
    <t>Representa el objeto de dominio TipoDOcumentoIdentificacion donde se encuentra el tipo de identificación que tiene asociado un dueño</t>
  </si>
  <si>
    <t>Representa el correo electrónico de un dueño. Se debe asegurar que al momento del registro se garantice que cumpla con un formato de correo electrónico válido.</t>
  </si>
  <si>
    <t>Representa el objeto de dominio Ciudad donde vive un dueño</t>
  </si>
  <si>
    <t>Representa la edad actual de una persona, la cual se calcula con base a la fecha de nacimiento y la fecha actual</t>
  </si>
  <si>
    <t>Indica que no pueden existir dos dueños o más con el mismo tipo de identificación y número de identificación</t>
  </si>
  <si>
    <t>tipoDocumentoIdentificacion</t>
  </si>
  <si>
    <t>numeroIdentificacion</t>
  </si>
  <si>
    <t>primerNombre</t>
  </si>
  <si>
    <t>segundoNombre</t>
  </si>
  <si>
    <t>primerApellido</t>
  </si>
  <si>
    <t>segundoApellido</t>
  </si>
  <si>
    <t>numeroTelefono</t>
  </si>
  <si>
    <t>correoElectronico</t>
  </si>
  <si>
    <t>direccionResidencia</t>
  </si>
  <si>
    <t>ciudadResidencia</t>
  </si>
  <si>
    <t>fechaNacimiento</t>
  </si>
  <si>
    <t>edad</t>
  </si>
  <si>
    <t>Combinación única 2</t>
  </si>
  <si>
    <t>Combinación única 3</t>
  </si>
  <si>
    <t>Sofía</t>
  </si>
  <si>
    <t>Antonia</t>
  </si>
  <si>
    <t>Escobar</t>
  </si>
  <si>
    <t>sofia@gmail.com</t>
  </si>
  <si>
    <t>Calle 56 # 45-76</t>
  </si>
  <si>
    <t>Carlos</t>
  </si>
  <si>
    <t>Mejía</t>
  </si>
  <si>
    <t>Vallejo</t>
  </si>
  <si>
    <t>c@hotmail.com</t>
  </si>
  <si>
    <t>Calle 78 #45-98</t>
  </si>
  <si>
    <t>Rodrigo</t>
  </si>
  <si>
    <t>Hernán</t>
  </si>
  <si>
    <t>Peñaloza</t>
  </si>
  <si>
    <t>García</t>
  </si>
  <si>
    <t>peñita@gmail.co</t>
  </si>
  <si>
    <t>Avenida 56 con circunvalar 4</t>
  </si>
  <si>
    <t>Clara</t>
  </si>
  <si>
    <t>María</t>
  </si>
  <si>
    <t>Grisales</t>
  </si>
  <si>
    <t>Berrío</t>
  </si>
  <si>
    <t>clarita@gmail.com</t>
  </si>
  <si>
    <t>Carrera 76a #56-87</t>
  </si>
  <si>
    <t>Corresponde a la combinación única 2</t>
  </si>
  <si>
    <t>Corresponde a la combinación única 3</t>
  </si>
  <si>
    <t>Corresponden a datos calculados o cumputados (se calculan con base en otros y de forma automática)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</si>
  <si>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</si>
  <si>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</si>
  <si>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</si>
  <si>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</si>
  <si>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</si>
  <si>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</si>
  <si>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</si>
  <si>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</si>
  <si>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</si>
  <si>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</si>
  <si>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Registrar información de una nuevo País</t>
  </si>
  <si>
    <t>Acción que permite llevar a cabo el registro de la información de uno país.</t>
  </si>
  <si>
    <t>datos</t>
  </si>
  <si>
    <t>Contiene la información requerida para llevar a cabo el registro de uno país</t>
  </si>
  <si>
    <t>P1</t>
  </si>
  <si>
    <t>No puede existir otro país con el mismo identificador.</t>
  </si>
  <si>
    <t>Generar un nuevo identificador hasta garantizar que no exista.</t>
  </si>
  <si>
    <t>Continuar operación</t>
  </si>
  <si>
    <t>P2</t>
  </si>
  <si>
    <t>No puede existir otro país con el mismo nombre.</t>
  </si>
  <si>
    <t>Generar una excepción indicándole al usuario que ya existe un país con el nombre deseado.</t>
  </si>
  <si>
    <t>Detener operación</t>
  </si>
  <si>
    <t>P3</t>
  </si>
  <si>
    <t>Asegurar que los datos requeridos para llevar a cabo la acción sean válidos a nivel de tipo de dato, longitud, obligatoriedad, formato y rango.</t>
  </si>
  <si>
    <t>Generar una excepción indicándole al usuario que existen problemas con los datos y de ser posible indicarle cómo solucionarlos.</t>
  </si>
  <si>
    <t>Eliminar de forma definitiva la información de un nuevo País</t>
  </si>
  <si>
    <t>Definición del event storming</t>
  </si>
  <si>
    <t>Contiene la información del identificador del pais que se va a eliminar de forma definitiva</t>
  </si>
  <si>
    <t>P4</t>
  </si>
  <si>
    <t>Asegurar que el país no esté siendo utilizado dentro de ningún otro objeto de dominio</t>
  </si>
  <si>
    <t>Generar una excepción indicando que el país está relacionado con otro objeto de dominio, indicando cuál y por tanto no puede ser eliminada.</t>
  </si>
  <si>
    <t>Consultar información de un País por su identificador</t>
  </si>
  <si>
    <t>Contiene la información del identificador del país que se va a consultar</t>
  </si>
  <si>
    <t>Contiene la información del País consultada por su id</t>
  </si>
  <si>
    <t>Consultar información de los Países</t>
  </si>
  <si>
    <t>filtro</t>
  </si>
  <si>
    <t>Contiene la información de los filtros que servirán como base para llevar a cabo la consulta de la información</t>
  </si>
  <si>
    <t>Lista&lt;Pais&gt;</t>
  </si>
  <si>
    <t>Contiene la información de todos los países que cumplen con el filtro de consulta</t>
  </si>
  <si>
    <t>P5</t>
  </si>
  <si>
    <t>Asegurar que los datos que fueron enviados como filtro para llevar a cabo la acción sean válidos a nivel de tipo de dato, longitud, obligatoriedad, formato y rango.</t>
  </si>
  <si>
    <t>Modificar información de un País</t>
  </si>
  <si>
    <t>Contiene la información del identificador del país para la cual se va a modificar la información</t>
  </si>
  <si>
    <t>Contiene los datos que se van a modificar dentro del país</t>
  </si>
  <si>
    <t>Objeto de Dominio: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</si>
  <si>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</si>
  <si>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</si>
  <si>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</si>
  <si>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</si>
  <si>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</si>
  <si>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</si>
  <si>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</si>
  <si>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</si>
  <si>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</si>
  <si>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</si>
  <si>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</si>
  <si>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</si>
  <si>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</si>
  <si>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</si>
  <si>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</si>
  <si>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</si>
  <si>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</si>
  <si>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>Veterinaria</t>
  </si>
  <si>
    <t>Consultar la información de los países</t>
  </si>
  <si>
    <t>Permite consultar la información de los países que cumplan un criterio de búsqueda específico</t>
  </si>
  <si>
    <t>Países consultados</t>
  </si>
  <si>
    <t>Cliente</t>
  </si>
  <si>
    <t>Representa el nombre de cada uno de los países en los cuales pueden estar presentes los dueños y la veterinaria</t>
  </si>
  <si>
    <t>Indica que no pueden existir dos países o más con el mismo nombre</t>
  </si>
  <si>
    <t>Colombia</t>
  </si>
  <si>
    <t>Ecuador</t>
  </si>
  <si>
    <t>Brasil</t>
  </si>
  <si>
    <t>Chile</t>
  </si>
  <si>
    <t>Argentina</t>
  </si>
  <si>
    <t>Representa el nombre de cada uno de los tipos de documento de identificación que pueden tener los dueños</t>
  </si>
  <si>
    <t>Indica que no pueden existir dos tipos de documento de identificación o más con el mismo nombre</t>
  </si>
  <si>
    <t>Cédula</t>
  </si>
  <si>
    <t>Tarjeta de Identidad</t>
  </si>
  <si>
    <t>Registro Civil</t>
  </si>
  <si>
    <t>Pasaporte</t>
  </si>
  <si>
    <t>Cédula Extranjería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</si>
</sst>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FCD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B8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FCA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rgb="FFFA90B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6">
    <xf numFmtId="0" fontId="0" fillId="0" borderId="0" xfId="0"/>
    <xf numFmtId="0" fontId="0" fillId="2" borderId="0" xfId="0" applyFill="1"/>
    <xf numFmtId="0" fontId="2" fillId="2" borderId="0" xfId="1" applyFill="1" applyAlignment="1">
      <alignment horizontal="left" vertical="center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2" fillId="2" borderId="0" xfId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2" fillId="2" borderId="0" xfId="1" applyFill="1" applyBorder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0" fontId="2" fillId="8" borderId="1" xfId="1" applyFill="1" applyBorder="1" applyAlignment="1">
      <alignment vertical="center"/>
    </xf>
    <xf numFmtId="0" fontId="0" fillId="8" borderId="0" xfId="0" applyFill="1" applyAlignment="1">
      <alignment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22" fontId="0" fillId="2" borderId="0" xfId="0" applyNumberFormat="1" applyFill="1" applyAlignment="1">
      <alignment vertical="center"/>
    </xf>
    <xf numFmtId="0" fontId="0" fillId="6" borderId="1" xfId="0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2" fillId="13" borderId="1" xfId="1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9" fillId="14" borderId="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14" borderId="7" xfId="0" applyFont="1" applyFill="1" applyBorder="1" applyAlignment="1">
      <alignment vertical="center"/>
    </xf>
    <xf numFmtId="0" fontId="10" fillId="0" borderId="0" xfId="0" applyFont="1" applyAlignment="1">
      <alignment vertical="center" wrapText="1"/>
    </xf>
    <xf numFmtId="0" fontId="9" fillId="15" borderId="7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1" borderId="1" xfId="0" applyFont="1" applyFill="1" applyBorder="1" applyAlignment="1">
      <alignment horizontal="center" vertical="center"/>
    </xf>
    <xf numFmtId="0" fontId="1" fillId="21" borderId="1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/>
    </xf>
    <xf numFmtId="0" fontId="0" fillId="16" borderId="13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/>
    </xf>
    <xf numFmtId="0" fontId="0" fillId="13" borderId="13" xfId="0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left" vertical="center"/>
    </xf>
    <xf numFmtId="0" fontId="0" fillId="21" borderId="13" xfId="0" applyFill="1" applyBorder="1" applyAlignment="1">
      <alignment horizontal="left" vertical="center"/>
    </xf>
    <xf numFmtId="0" fontId="0" fillId="21" borderId="11" xfId="0" applyFill="1" applyBorder="1" applyAlignment="1">
      <alignment horizontal="left" vertical="center" wrapText="1"/>
    </xf>
    <xf numFmtId="0" fontId="0" fillId="21" borderId="11" xfId="0" applyFill="1" applyBorder="1" applyAlignment="1">
      <alignment horizontal="left" vertical="center"/>
    </xf>
    <xf numFmtId="0" fontId="0" fillId="21" borderId="14" xfId="0" applyFill="1" applyBorder="1" applyAlignment="1">
      <alignment horizontal="left" vertical="center"/>
    </xf>
    <xf numFmtId="0" fontId="0" fillId="13" borderId="7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left" vertical="center" wrapText="1"/>
    </xf>
    <xf numFmtId="0" fontId="0" fillId="21" borderId="7" xfId="0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0" fontId="0" fillId="21" borderId="10" xfId="0" applyFill="1" applyBorder="1" applyAlignment="1">
      <alignment vertical="center"/>
    </xf>
    <xf numFmtId="0" fontId="0" fillId="21" borderId="11" xfId="0" applyFill="1" applyBorder="1" applyAlignment="1">
      <alignment vertical="center"/>
    </xf>
    <xf numFmtId="0" fontId="0" fillId="21" borderId="1" xfId="0" applyFill="1" applyBorder="1" applyAlignment="1">
      <alignment horizontal="left" vertical="center" wrapText="1"/>
    </xf>
    <xf numFmtId="0" fontId="0" fillId="21" borderId="11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left" vertical="center"/>
    </xf>
    <xf numFmtId="0" fontId="0" fillId="21" borderId="11" xfId="0" applyFill="1" applyBorder="1" applyAlignment="1">
      <alignment horizontal="left" vertical="center"/>
    </xf>
    <xf numFmtId="0" fontId="0" fillId="6" borderId="7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 wrapText="1"/>
    </xf>
    <xf numFmtId="0" fontId="0" fillId="16" borderId="7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horizontal="left" vertical="center" wrapText="1"/>
    </xf>
    <xf numFmtId="0" fontId="1" fillId="21" borderId="6" xfId="0" applyFont="1" applyFill="1" applyBorder="1" applyAlignment="1">
      <alignment horizontal="center" vertical="center"/>
    </xf>
    <xf numFmtId="0" fontId="1" fillId="21" borderId="12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/>
    </xf>
    <xf numFmtId="0" fontId="1" fillId="21" borderId="5" xfId="0" applyFont="1" applyFill="1" applyBorder="1" applyAlignment="1">
      <alignment horizontal="center" vertical="center"/>
    </xf>
    <xf numFmtId="0" fontId="1" fillId="21" borderId="7" xfId="0" applyFont="1" applyFill="1" applyBorder="1" applyAlignment="1">
      <alignment horizontal="center" vertical="center"/>
    </xf>
    <xf numFmtId="0" fontId="2" fillId="2" borderId="0" xfId="1" applyFill="1" applyAlignment="1">
      <alignment horizontal="left" vertical="center"/>
    </xf>
    <xf numFmtId="0" fontId="2" fillId="2" borderId="0" xfId="1" applyFill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2" fillId="2" borderId="0" xfId="1" applyFill="1" applyAlignment="1">
      <alignment horizontal="left"/>
    </xf>
    <xf numFmtId="0" fontId="2" fillId="2" borderId="0" xfId="1" applyFill="1" applyAlignment="1">
      <alignment horizontal="center"/>
    </xf>
    <xf numFmtId="0" fontId="2" fillId="2" borderId="0" xfId="1" applyFill="1" applyBorder="1" applyAlignment="1">
      <alignment horizontal="left" vertical="center"/>
    </xf>
    <xf numFmtId="0" fontId="2" fillId="2" borderId="0" xfId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5" borderId="7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EB8CE"/>
      <color rgb="FFFCFC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311150</xdr:colOff>
      <xdr:row>2</xdr:row>
      <xdr:rowOff>82550</xdr:rowOff>
    </xdr:from>
    <xdr:to>
      <xdr:col>11</xdr:col>
      <xdr:colOff>305758</xdr:colOff>
      <xdr:row>20</xdr:row>
      <xdr:rowOff>139700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25FFDC-79C8-DEE1-5D61-1963F170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450850"/>
          <a:ext cx="8376608" cy="3371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AA6B-D1D2-4454-BED9-7F131A07874D}">
  <dimension ref="A1:G12"/>
  <sheetViews>
    <sheetView workbookViewId="0">
      <pane ySplit="1" topLeftCell="A2" activePane="bottomLeft" state="frozen"/>
      <selection pane="bottomLeft" sqref="A1:C1"/>
    </sheetView>
  </sheetViews>
  <sheetFormatPr defaultColWidth="10.85546875" defaultRowHeight="14.45"/>
  <cols>
    <col min="1" max="16384" width="10.85546875" style="1"/>
  </cols>
  <sheetData>
    <row r="1" spans="1:7">
      <c r="A1" s="118" t="s">
        <v>0</v>
      </c>
      <c r="B1" s="118"/>
      <c r="C1" s="118"/>
    </row>
    <row r="5" spans="1:7">
      <c r="B5"/>
    </row>
    <row r="12" spans="1:7">
      <c r="G12"/>
    </row>
  </sheetData>
  <mergeCells count="1">
    <mergeCell ref="A1:C1"/>
  </mergeCells>
  <hyperlinks>
    <hyperlink ref="A1:C1" location="ListadoObjetosDominio!A1" tooltip="Listado donde se pueden encontrar todos los objetos de dominio, para ir a un detalle específico de ellos." display="Ir al listado de objetos de dominio &gt;&gt;" xr:uid="{A74B956B-235A-4004-A526-D1F7932DEAFE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54BC-E265-4ECE-8203-717885F4D6A9}">
  <dimension ref="A1:E10"/>
  <sheetViews>
    <sheetView workbookViewId="0">
      <pane ySplit="1" topLeftCell="A2" activePane="bottomLeft" state="frozen"/>
      <selection pane="bottomLeft" activeCell="E6" sqref="E6"/>
    </sheetView>
  </sheetViews>
  <sheetFormatPr defaultColWidth="10.85546875" defaultRowHeight="14.45"/>
  <cols>
    <col min="1" max="1" width="11.7109375" style="3" bestFit="1" customWidth="1"/>
    <col min="2" max="2" width="24.85546875" style="3" bestFit="1" customWidth="1"/>
    <col min="3" max="3" width="74.85546875" style="3" customWidth="1"/>
    <col min="4" max="4" width="16.140625" style="3" bestFit="1" customWidth="1"/>
    <col min="5" max="5" width="19.7109375" style="3" bestFit="1" customWidth="1"/>
    <col min="6" max="16384" width="10.85546875" style="3"/>
  </cols>
  <sheetData>
    <row r="1" spans="1:5">
      <c r="A1" s="110" t="s">
        <v>1</v>
      </c>
      <c r="B1" s="110"/>
      <c r="C1" s="110"/>
    </row>
    <row r="2" spans="1:5" s="5" customForma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spans="1:5" s="5" customFormat="1" ht="43.5">
      <c r="A3" s="9">
        <v>1</v>
      </c>
      <c r="B3" s="9" t="s">
        <v>7</v>
      </c>
      <c r="C3" s="10" t="s">
        <v>8</v>
      </c>
      <c r="D3" s="8" t="s">
        <v>9</v>
      </c>
      <c r="E3" s="8" t="s">
        <v>9</v>
      </c>
    </row>
    <row r="4" spans="1:5" ht="29.1">
      <c r="A4" s="9">
        <v>1</v>
      </c>
      <c r="B4" s="9" t="s">
        <v>10</v>
      </c>
      <c r="C4" s="7" t="s">
        <v>11</v>
      </c>
      <c r="D4" s="6"/>
      <c r="E4" s="6"/>
    </row>
    <row r="5" spans="1:5" s="5" customFormat="1" ht="29.1">
      <c r="A5" s="9">
        <v>1</v>
      </c>
      <c r="B5" s="9" t="s">
        <v>12</v>
      </c>
      <c r="C5" s="10" t="s">
        <v>13</v>
      </c>
      <c r="D5" s="8" t="s">
        <v>9</v>
      </c>
      <c r="E5" s="8" t="s">
        <v>9</v>
      </c>
    </row>
    <row r="6" spans="1:5" ht="43.5">
      <c r="A6" s="9">
        <v>2</v>
      </c>
      <c r="B6" s="9" t="s">
        <v>14</v>
      </c>
      <c r="C6" s="10" t="s">
        <v>15</v>
      </c>
      <c r="D6" s="8" t="s">
        <v>9</v>
      </c>
      <c r="E6" s="8" t="s">
        <v>9</v>
      </c>
    </row>
    <row r="7" spans="1:5" ht="43.5">
      <c r="A7" s="9">
        <v>3</v>
      </c>
      <c r="B7" s="9" t="s">
        <v>16</v>
      </c>
      <c r="C7" s="10" t="s">
        <v>17</v>
      </c>
      <c r="D7" s="8" t="s">
        <v>9</v>
      </c>
      <c r="E7" s="8" t="s">
        <v>9</v>
      </c>
    </row>
    <row r="8" spans="1:5" ht="29.1">
      <c r="A8" s="9">
        <v>4</v>
      </c>
      <c r="B8" s="9" t="s">
        <v>18</v>
      </c>
      <c r="C8" s="7" t="s">
        <v>19</v>
      </c>
      <c r="D8" s="8" t="s">
        <v>9</v>
      </c>
      <c r="E8" s="8" t="s">
        <v>9</v>
      </c>
    </row>
    <row r="9" spans="1:5" ht="29.1">
      <c r="A9" s="9">
        <v>5</v>
      </c>
      <c r="B9" s="9" t="s">
        <v>20</v>
      </c>
      <c r="C9" s="7" t="s">
        <v>21</v>
      </c>
      <c r="D9" s="6"/>
      <c r="E9" s="6"/>
    </row>
    <row r="10" spans="1:5" ht="29.1">
      <c r="A10" s="9">
        <v>6</v>
      </c>
      <c r="B10" s="9" t="s">
        <v>22</v>
      </c>
      <c r="C10" s="7" t="s">
        <v>23</v>
      </c>
      <c r="D10" s="6"/>
      <c r="E10" s="6"/>
    </row>
  </sheetData>
  <mergeCells count="1">
    <mergeCell ref="A1:C1"/>
  </mergeCells>
  <hyperlinks>
    <hyperlink ref="A1:C1" location="ModeloDominio!A1" tooltip="Modelado de dominio" display="&lt;&lt;Ir al modelo de dominio" xr:uid="{25CE4C62-EAE1-485D-8088-959C4386E9D4}"/>
    <hyperlink ref="D8" location="'M-Dueno'!A1" display="Ir" xr:uid="{CE00F71D-A9E5-4681-8168-98567C50A4C0}"/>
    <hyperlink ref="E8" location="'C-Dueno'!A1" display="Ir" xr:uid="{864E8DF3-829A-4C60-B2F9-E863F0A8EC38}"/>
    <hyperlink ref="D3" location="'M-Pais'!A1" display="Ir" xr:uid="{5F8284F8-0D71-446C-BFE5-BF49CB1AC033}"/>
    <hyperlink ref="E3" location="'C-Pais'!A1" display="Ir" xr:uid="{17D6400B-D918-4399-9173-27E1A3523F9A}"/>
    <hyperlink ref="D6" location="'M-Departamento'!A1" display="Ir" xr:uid="{DD1A78EA-21AD-4EF2-AF40-D0D71FAD78DF}"/>
    <hyperlink ref="E6" location="'C-Departamento'!A1" display="Ir" xr:uid="{9E7C079E-6CCC-4390-B1BC-539DF2CCC499}"/>
    <hyperlink ref="D7" location="'M-Ciudad'!A1" display="Ir" xr:uid="{B90ACE51-E070-412C-A457-A2E35DA021C9}"/>
    <hyperlink ref="E7" location="'C-Ciudad'!A1" display="Ir" xr:uid="{7F3EAB58-E018-49DF-A80A-FCFECBEF2522}"/>
    <hyperlink ref="D5" location="'M-TipoDocumentoIdentificacion'!A1" display="Ir" xr:uid="{317D4113-E864-49F4-AB48-04BF72B29C70}"/>
    <hyperlink ref="E5" location="'C-TipoDocumentoIdentificacion'!A1" display="Ir" xr:uid="{34A86578-6E23-4139-BF49-6054AC9E28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53D1-5A8F-4885-B816-BA2B0E11C4FD}">
  <dimension ref="A1:I1"/>
  <sheetViews>
    <sheetView workbookViewId="0">
      <pane ySplit="1" topLeftCell="A2" activePane="bottomLeft" state="frozen"/>
      <selection pane="bottomLeft" activeCell="F1" sqref="F1:I1"/>
    </sheetView>
  </sheetViews>
  <sheetFormatPr defaultColWidth="10.85546875" defaultRowHeight="14.45"/>
  <cols>
    <col min="1" max="16384" width="10.85546875" style="1"/>
  </cols>
  <sheetData>
    <row r="1" spans="1:9">
      <c r="A1" s="118" t="s">
        <v>24</v>
      </c>
      <c r="B1" s="118"/>
      <c r="C1" s="119" t="s">
        <v>25</v>
      </c>
      <c r="D1" s="119"/>
      <c r="E1" s="119"/>
      <c r="F1" s="118" t="s">
        <v>26</v>
      </c>
      <c r="G1" s="118"/>
      <c r="H1" s="118"/>
      <c r="I1" s="118"/>
    </row>
  </sheetData>
  <mergeCells count="3">
    <mergeCell ref="A1:B1"/>
    <mergeCell ref="C1:E1"/>
    <mergeCell ref="F1:I1"/>
  </mergeCells>
  <hyperlinks>
    <hyperlink ref="A1:B1" location="ModeloDominio!A1" display="&lt;&lt; Ir al modelo de dominio" xr:uid="{BDC73C96-6845-4145-8AD1-9FC15C1D1DA2}"/>
    <hyperlink ref="C1" location="ListadoObjetosDominio!A1" display="&lt;&lt; Ir al listado de objetos de dominio" xr:uid="{EE607F02-EB50-45C1-8BC6-7D8716CA841A}"/>
    <hyperlink ref="F1" location="'C-Dueno'!A1" display="&lt;&lt; Ir a la caracterización del objeto de dominio" xr:uid="{7ABED3E7-6D03-4A40-80EF-3075A6B0FD29}"/>
    <hyperlink ref="F1:I1" location="'M-Ciudad'!A1" display="Ir al muestreo de datos del objeto de dominio &gt;&gt;" xr:uid="{5114CF82-81E5-4130-9D55-3695DCF876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97E-DC2B-48D1-B7D3-E902BC74C380}">
  <dimension ref="A1:P19"/>
  <sheetViews>
    <sheetView workbookViewId="0">
      <pane ySplit="1" topLeftCell="A2" activePane="bottomLeft" state="frozen"/>
      <selection pane="bottomLeft" activeCell="C16" sqref="C16"/>
    </sheetView>
  </sheetViews>
  <sheetFormatPr defaultColWidth="10.85546875" defaultRowHeight="14.45"/>
  <cols>
    <col min="1" max="1" width="29.85546875" style="3" customWidth="1"/>
    <col min="2" max="3" width="33.42578125" style="3" customWidth="1"/>
    <col min="4" max="4" width="34" style="3" bestFit="1" customWidth="1"/>
    <col min="5" max="5" width="13" style="3" bestFit="1" customWidth="1"/>
    <col min="6" max="6" width="14.5703125" style="3" bestFit="1" customWidth="1"/>
    <col min="7" max="7" width="13.28515625" style="3" bestFit="1" customWidth="1"/>
    <col min="8" max="8" width="14.85546875" style="3" bestFit="1" customWidth="1"/>
    <col min="9" max="9" width="13.85546875" style="3" bestFit="1" customWidth="1"/>
    <col min="10" max="10" width="15.28515625" style="3" bestFit="1" customWidth="1"/>
    <col min="11" max="11" width="17.42578125" style="3" bestFit="1" customWidth="1"/>
    <col min="12" max="12" width="6.5703125" style="3" bestFit="1" customWidth="1"/>
    <col min="13" max="13" width="12.5703125" style="3" bestFit="1" customWidth="1"/>
    <col min="14" max="14" width="4.28515625" style="3" bestFit="1" customWidth="1"/>
    <col min="15" max="15" width="14.7109375" style="3" bestFit="1" customWidth="1"/>
    <col min="16" max="16" width="4.85546875" style="3" bestFit="1" customWidth="1"/>
    <col min="17" max="16384" width="10.85546875" style="3"/>
  </cols>
  <sheetData>
    <row r="1" spans="1:16">
      <c r="A1" s="120" t="s">
        <v>24</v>
      </c>
      <c r="B1" s="120"/>
      <c r="C1" s="11"/>
      <c r="D1" s="121" t="s">
        <v>25</v>
      </c>
      <c r="E1" s="121"/>
      <c r="F1" s="121"/>
      <c r="G1" s="120" t="s">
        <v>27</v>
      </c>
      <c r="H1" s="120"/>
      <c r="I1" s="120"/>
      <c r="J1" s="120"/>
    </row>
    <row r="2" spans="1:16">
      <c r="A2" s="24" t="s">
        <v>28</v>
      </c>
      <c r="B2" s="122" t="str">
        <f>ListadoObjetosDominio!B7</f>
        <v>Ciudad</v>
      </c>
      <c r="C2" s="122"/>
      <c r="D2" s="122"/>
    </row>
    <row r="3" spans="1:16" ht="52.5" customHeight="1">
      <c r="A3" s="24" t="s">
        <v>29</v>
      </c>
      <c r="B3" s="123" t="str">
        <f>ListadoObjetosDominio!C7</f>
        <v>Objeto de dominio que representa a cada una de las ciudades de los departamentos de un país, donde se encuentran  las sedes de la veterinaria y donde también pueden vivir los dueños</v>
      </c>
      <c r="C3" s="123"/>
      <c r="D3" s="123"/>
    </row>
    <row r="4" spans="1:16" ht="35.450000000000003" customHeight="1">
      <c r="A4" s="19" t="s">
        <v>30</v>
      </c>
      <c r="B4" s="19" t="s">
        <v>31</v>
      </c>
      <c r="C4" s="19" t="s">
        <v>32</v>
      </c>
      <c r="D4" s="19" t="s">
        <v>33</v>
      </c>
    </row>
    <row r="5" spans="1:16" s="5" customFormat="1">
      <c r="A5" s="20" t="s">
        <v>34</v>
      </c>
      <c r="B5" s="20" t="s">
        <v>35</v>
      </c>
      <c r="C5" s="26" t="s">
        <v>36</v>
      </c>
      <c r="D5" s="21" t="s">
        <v>37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>
      <c r="A6" s="22">
        <v>1</v>
      </c>
      <c r="B6" s="6" t="s">
        <v>38</v>
      </c>
      <c r="C6" s="27" t="str">
        <f>'M-Departamento'!D6</f>
        <v>Antioquia-Colombia</v>
      </c>
      <c r="D6" s="23" t="str">
        <f>_xlfn.CONCAT(B6,"-",C6)</f>
        <v>Rionegro-Antioquia-Colombia</v>
      </c>
      <c r="J6" s="15"/>
      <c r="O6" s="16"/>
    </row>
    <row r="7" spans="1:16">
      <c r="A7" s="22">
        <v>2</v>
      </c>
      <c r="B7" s="6" t="s">
        <v>39</v>
      </c>
      <c r="C7" s="27" t="str">
        <f>'M-Departamento'!D7</f>
        <v>Guajira-Colombia</v>
      </c>
      <c r="D7" s="23" t="str">
        <f t="shared" ref="D7:D10" si="0">_xlfn.CONCAT(B7,"-",C7)</f>
        <v>Riohacha-Guajira-Colombia</v>
      </c>
      <c r="J7" s="15"/>
      <c r="O7" s="16"/>
    </row>
    <row r="8" spans="1:16">
      <c r="A8" s="22">
        <v>3</v>
      </c>
      <c r="B8" s="6" t="s">
        <v>40</v>
      </c>
      <c r="C8" s="27" t="str">
        <f>'M-Departamento'!D8</f>
        <v>Cundinamarca-Colombia</v>
      </c>
      <c r="D8" s="23" t="str">
        <f t="shared" si="0"/>
        <v>Bogotá-Cundinamarca-Colombia</v>
      </c>
      <c r="J8" s="15"/>
      <c r="O8" s="16"/>
    </row>
    <row r="9" spans="1:16">
      <c r="A9" s="22">
        <v>4</v>
      </c>
      <c r="B9" s="6" t="s">
        <v>41</v>
      </c>
      <c r="C9" s="27" t="str">
        <f>'M-Departamento'!D6</f>
        <v>Antioquia-Colombia</v>
      </c>
      <c r="D9" s="23" t="str">
        <f t="shared" si="0"/>
        <v>El Retiro-Antioquia-Colombia</v>
      </c>
      <c r="J9" s="15"/>
      <c r="O9" s="16"/>
    </row>
    <row r="10" spans="1:16">
      <c r="A10" s="22">
        <v>5</v>
      </c>
      <c r="B10" s="6" t="s">
        <v>42</v>
      </c>
      <c r="C10" s="27" t="str">
        <f>'M-Departamento'!D6</f>
        <v>Antioquia-Colombia</v>
      </c>
      <c r="D10" s="23" t="str">
        <f t="shared" si="0"/>
        <v>La Ceja-Antioquia-Colombia</v>
      </c>
    </row>
    <row r="13" spans="1:16">
      <c r="A13" s="25"/>
      <c r="B13" s="3" t="s">
        <v>43</v>
      </c>
    </row>
    <row r="14" spans="1:16">
      <c r="A14" s="17"/>
      <c r="B14" s="3" t="s">
        <v>44</v>
      </c>
    </row>
    <row r="15" spans="1:16">
      <c r="A15" s="18"/>
      <c r="B15" s="3" t="s">
        <v>45</v>
      </c>
    </row>
    <row r="16" spans="1:16">
      <c r="B16" s="3" t="s">
        <v>46</v>
      </c>
    </row>
    <row r="17" spans="1:2">
      <c r="A17" s="13"/>
      <c r="B17" s="3" t="s">
        <v>47</v>
      </c>
    </row>
    <row r="18" spans="1:2">
      <c r="A18" s="14"/>
      <c r="B18" s="3" t="s">
        <v>48</v>
      </c>
    </row>
    <row r="19" spans="1:2">
      <c r="A19" s="28"/>
      <c r="B19" s="3" t="s">
        <v>49</v>
      </c>
    </row>
  </sheetData>
  <mergeCells count="5">
    <mergeCell ref="A1:B1"/>
    <mergeCell ref="D1:F1"/>
    <mergeCell ref="G1:J1"/>
    <mergeCell ref="B2:D2"/>
    <mergeCell ref="B3:D3"/>
  </mergeCells>
  <hyperlinks>
    <hyperlink ref="A1:B1" location="ModeloDominio!A1" display="&lt;&lt; Ir al modelo de dominio" xr:uid="{2050DEA6-ED45-4C22-964C-C6BB316A56A7}"/>
    <hyperlink ref="D1" location="ListadoObjetosDominio!A1" display="&lt;&lt; Ir al listado de objetos de dominio" xr:uid="{C424C5A4-6DF2-4C02-A0C2-9EE39A9FC90E}"/>
    <hyperlink ref="G1" location="'C-Dueno'!A1" display="&lt;&lt; Ir a la caracterización del objeto de dominio" xr:uid="{057EFA2E-8808-4100-B5AA-E585B7AC8C54}"/>
    <hyperlink ref="G1:J1" location="'C-Ciudad'!A1" display="&lt;&lt; Ir a la caracterización del objeto de dominio" xr:uid="{14046ED4-8E05-400A-8DBA-E81AC05073C5}"/>
    <hyperlink ref="C6" location="'M-Departamento'!A6" display="'M-Departamento'!A6" xr:uid="{A7ADC576-3FF7-4219-829C-78604D076E18}"/>
    <hyperlink ref="C5" location="'M-Departamento'!A1" display="departamento" xr:uid="{51808BA0-2A5F-4E60-864C-D2C66ECC621D}"/>
    <hyperlink ref="C7" location="'M-Departamento'!A7" display="'M-Departamento'!A7" xr:uid="{B0F499A1-C9D2-4075-9596-EE919C689CB0}"/>
    <hyperlink ref="C8" location="'M-Departamento'!A8" display="'M-Departamento'!A8" xr:uid="{0C33B34E-8FDE-46C1-B801-7A752881EE2F}"/>
    <hyperlink ref="C9" location="'M-Departamento'!A6" display="'M-Departamento'!A6" xr:uid="{E5A47307-62D5-4E25-8525-35F4D3C34B6D}"/>
    <hyperlink ref="C10" location="'M-Departamento'!A6" display="'M-Departamento'!A6" xr:uid="{981C433A-0AB8-41DA-9DF7-9A87167B70C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9CB1-BE6C-494B-89C6-73D78B56B5DC}">
  <dimension ref="A1:U11"/>
  <sheetViews>
    <sheetView topLeftCell="P1" workbookViewId="0">
      <pane ySplit="1" topLeftCell="A2" activePane="bottomLeft" state="frozen"/>
      <selection pane="bottomLeft" activeCell="R17" sqref="R17"/>
    </sheetView>
  </sheetViews>
  <sheetFormatPr defaultColWidth="10.85546875" defaultRowHeight="14.45"/>
  <cols>
    <col min="1" max="1" width="24.140625" style="1" bestFit="1" customWidth="1"/>
    <col min="2" max="2" width="105" style="1" bestFit="1" customWidth="1"/>
    <col min="3" max="3" width="30.28515625" style="1" bestFit="1" customWidth="1"/>
    <col min="4" max="4" width="23.5703125" style="1" bestFit="1" customWidth="1"/>
    <col min="5" max="5" width="10" style="1" bestFit="1" customWidth="1"/>
    <col min="6" max="6" width="23.7109375" style="1" bestFit="1" customWidth="1"/>
    <col min="7" max="7" width="24" style="1" bestFit="1" customWidth="1"/>
    <col min="8" max="8" width="17.42578125" style="1" bestFit="1" customWidth="1"/>
    <col min="9" max="9" width="19.140625" style="1" bestFit="1" customWidth="1"/>
    <col min="10" max="10" width="20.42578125" style="1" bestFit="1" customWidth="1"/>
    <col min="11" max="11" width="18.85546875" style="1" bestFit="1" customWidth="1"/>
    <col min="12" max="12" width="16.42578125" style="1" bestFit="1" customWidth="1"/>
    <col min="13" max="13" width="34.85546875" style="1" bestFit="1" customWidth="1"/>
    <col min="14" max="14" width="13.42578125" style="1" bestFit="1" customWidth="1"/>
    <col min="15" max="15" width="27.5703125" style="1" bestFit="1" customWidth="1"/>
    <col min="16" max="16" width="24.85546875" style="1" bestFit="1" customWidth="1"/>
    <col min="17" max="17" width="38.42578125" style="1" bestFit="1" customWidth="1"/>
    <col min="18" max="18" width="35.85546875" style="1" bestFit="1" customWidth="1"/>
    <col min="19" max="19" width="21" style="1" bestFit="1" customWidth="1"/>
    <col min="20" max="20" width="23.7109375" style="1" bestFit="1" customWidth="1"/>
    <col min="21" max="21" width="12.7109375" style="1" bestFit="1" customWidth="1"/>
    <col min="22" max="16384" width="10.85546875" style="1"/>
  </cols>
  <sheetData>
    <row r="1" spans="1:21">
      <c r="A1" s="118" t="s">
        <v>24</v>
      </c>
      <c r="B1" s="118"/>
      <c r="C1" s="119" t="s">
        <v>25</v>
      </c>
      <c r="D1" s="119"/>
      <c r="E1" s="119"/>
      <c r="F1" s="118" t="s">
        <v>26</v>
      </c>
      <c r="G1" s="118"/>
      <c r="H1" s="118"/>
      <c r="I1" s="118"/>
    </row>
    <row r="2" spans="1:21" s="3" customFormat="1">
      <c r="A2" s="24" t="s">
        <v>3</v>
      </c>
      <c r="B2" s="112" t="str">
        <f>ListadoObjetosDominio!B6</f>
        <v>Departamento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4"/>
    </row>
    <row r="3" spans="1:21" s="3" customFormat="1" ht="14.45" customHeight="1">
      <c r="A3" s="24" t="s">
        <v>4</v>
      </c>
      <c r="B3" s="115" t="str">
        <f>ListadoObjetosDominio!C6</f>
        <v>Objeto de dominio que representa a cada uno de los departamentos de un país, donde se encuentran las ciudades donde están ubicadas las sedes de la veterinaria y donde también pueden vivir los dueños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7"/>
    </row>
    <row r="4" spans="1:21" s="5" customFormat="1">
      <c r="A4" s="40" t="s">
        <v>50</v>
      </c>
      <c r="B4" s="40" t="s">
        <v>51</v>
      </c>
      <c r="C4" s="40" t="s">
        <v>52</v>
      </c>
      <c r="D4" s="40" t="s">
        <v>53</v>
      </c>
      <c r="E4" s="40" t="s">
        <v>54</v>
      </c>
      <c r="F4" s="40" t="s">
        <v>55</v>
      </c>
      <c r="G4" s="40" t="s">
        <v>56</v>
      </c>
      <c r="H4" s="40" t="s">
        <v>57</v>
      </c>
      <c r="I4" s="40" t="s">
        <v>58</v>
      </c>
      <c r="J4" s="40" t="s">
        <v>59</v>
      </c>
      <c r="K4" s="40" t="s">
        <v>60</v>
      </c>
      <c r="L4" s="40" t="s">
        <v>61</v>
      </c>
      <c r="M4" s="40" t="s">
        <v>62</v>
      </c>
      <c r="N4" s="40" t="s">
        <v>63</v>
      </c>
      <c r="O4" s="40" t="s">
        <v>64</v>
      </c>
      <c r="P4" s="40" t="s">
        <v>65</v>
      </c>
      <c r="Q4" s="40" t="s">
        <v>66</v>
      </c>
      <c r="R4" s="40" t="s">
        <v>67</v>
      </c>
      <c r="S4" s="40" t="s">
        <v>68</v>
      </c>
      <c r="T4" s="40" t="s">
        <v>69</v>
      </c>
      <c r="U4" s="40" t="s">
        <v>70</v>
      </c>
    </row>
    <row r="5" spans="1:21" s="3" customFormat="1">
      <c r="A5" s="41" t="str">
        <f>'M-Departamento'!A5</f>
        <v>id</v>
      </c>
      <c r="B5" s="42" t="str">
        <f>'M-Departamento'!A4</f>
        <v>Representa el identificador único de cada objeto de dominio.</v>
      </c>
      <c r="C5" s="41" t="s">
        <v>71</v>
      </c>
      <c r="D5" s="41" t="s">
        <v>72</v>
      </c>
      <c r="E5" s="41" t="s">
        <v>71</v>
      </c>
      <c r="F5" s="41"/>
      <c r="G5" s="41"/>
      <c r="H5" s="41"/>
      <c r="I5" s="41"/>
      <c r="J5" s="41"/>
      <c r="K5" s="41"/>
      <c r="L5" s="41"/>
      <c r="M5" s="41"/>
      <c r="N5" s="41" t="s">
        <v>73</v>
      </c>
      <c r="O5" s="41" t="s">
        <v>73</v>
      </c>
      <c r="P5" s="41"/>
      <c r="Q5" s="41" t="s">
        <v>73</v>
      </c>
      <c r="R5" s="41" t="s">
        <v>73</v>
      </c>
      <c r="S5" s="41" t="s">
        <v>73</v>
      </c>
      <c r="T5" s="41"/>
      <c r="U5" s="41" t="s">
        <v>71</v>
      </c>
    </row>
    <row r="6" spans="1:21" s="3" customFormat="1" ht="57.95">
      <c r="A6" s="41" t="str">
        <f>'M-Departamento'!B5</f>
        <v>nombre</v>
      </c>
      <c r="B6" s="42" t="str">
        <f>'M-Departamento'!B4</f>
        <v>Representa el nombre de cada uno de los departamentos pertenecientes a los países en los cuales pueden estar presentes los dueños y la veterinaria</v>
      </c>
      <c r="C6" s="41" t="s">
        <v>73</v>
      </c>
      <c r="D6" s="41" t="s">
        <v>74</v>
      </c>
      <c r="E6" s="41" t="s">
        <v>71</v>
      </c>
      <c r="F6" s="41">
        <v>1</v>
      </c>
      <c r="G6" s="41">
        <v>50</v>
      </c>
      <c r="H6" s="41"/>
      <c r="I6" s="41"/>
      <c r="J6" s="41"/>
      <c r="K6" s="41"/>
      <c r="L6" s="41"/>
      <c r="M6" s="42" t="s">
        <v>75</v>
      </c>
      <c r="N6" s="41" t="s">
        <v>73</v>
      </c>
      <c r="O6" s="41" t="s">
        <v>73</v>
      </c>
      <c r="P6" s="41"/>
      <c r="Q6" s="41" t="s">
        <v>71</v>
      </c>
      <c r="R6" s="41" t="s">
        <v>71</v>
      </c>
      <c r="S6" s="41" t="s">
        <v>73</v>
      </c>
      <c r="T6" s="41"/>
      <c r="U6" s="41" t="s">
        <v>73</v>
      </c>
    </row>
    <row r="7" spans="1:21" s="3" customFormat="1">
      <c r="A7" s="41" t="str">
        <f>'M-Departamento'!C5</f>
        <v>pais</v>
      </c>
      <c r="B7" s="42" t="str">
        <f>'M-Departamento'!C4</f>
        <v>Representa el objeto de dominio Pais al que pertenece un departamento donde pueden estar ubicados los dueños y la veterinaria</v>
      </c>
      <c r="C7" s="41" t="s">
        <v>73</v>
      </c>
      <c r="D7" s="43" t="s">
        <v>7</v>
      </c>
      <c r="E7" s="41" t="s">
        <v>71</v>
      </c>
      <c r="F7" s="41"/>
      <c r="G7" s="41"/>
      <c r="H7" s="41"/>
      <c r="I7" s="41"/>
      <c r="J7" s="41"/>
      <c r="K7" s="41"/>
      <c r="L7" s="41"/>
      <c r="M7" s="42" t="s">
        <v>76</v>
      </c>
      <c r="N7" s="41" t="s">
        <v>73</v>
      </c>
      <c r="O7" s="41" t="s">
        <v>73</v>
      </c>
      <c r="P7" s="41"/>
      <c r="Q7" s="41" t="s">
        <v>73</v>
      </c>
      <c r="R7" s="41" t="s">
        <v>73</v>
      </c>
      <c r="S7" s="41" t="s">
        <v>73</v>
      </c>
      <c r="T7" s="41"/>
      <c r="U7" s="41" t="s">
        <v>73</v>
      </c>
    </row>
    <row r="8" spans="1:21" s="3" customFormat="1"/>
    <row r="9" spans="1:21" s="5" customFormat="1">
      <c r="A9" s="39" t="s">
        <v>77</v>
      </c>
      <c r="B9" s="39" t="s">
        <v>4</v>
      </c>
      <c r="C9" s="39" t="s">
        <v>78</v>
      </c>
    </row>
    <row r="10" spans="1:21" s="3" customFormat="1">
      <c r="A10" s="124" t="str">
        <f>'M-Departamento'!D5</f>
        <v>Combinación única 1</v>
      </c>
      <c r="B10" s="95" t="str">
        <f>'M-Departamento'!D4</f>
        <v>Indica que no pueden existir dos departamentos o más con el mismo nombre dentro de un mismo país</v>
      </c>
      <c r="C10" s="44" t="str">
        <f>A6</f>
        <v>nombre</v>
      </c>
    </row>
    <row r="11" spans="1:21" s="3" customFormat="1">
      <c r="A11" s="124"/>
      <c r="B11" s="95"/>
      <c r="C11" s="44" t="str">
        <f>A7</f>
        <v>pais</v>
      </c>
    </row>
  </sheetData>
  <mergeCells count="7">
    <mergeCell ref="A10:A11"/>
    <mergeCell ref="B10:B11"/>
    <mergeCell ref="A1:B1"/>
    <mergeCell ref="C1:E1"/>
    <mergeCell ref="F1:I1"/>
    <mergeCell ref="B2:U2"/>
    <mergeCell ref="B3:U3"/>
  </mergeCells>
  <hyperlinks>
    <hyperlink ref="A1:B1" location="ModeloDominio!A1" display="&lt;&lt; Ir al modelo de dominio" xr:uid="{E5FAA24B-4DC9-4B72-9518-55E9E23E725A}"/>
    <hyperlink ref="C1" location="ListadoObjetosDominio!A1" display="&lt;&lt; Ir al listado de objetos de dominio" xr:uid="{682E1901-11F8-4746-B630-C8C6F086926C}"/>
    <hyperlink ref="F1" location="'C-Dueno'!A1" display="&lt;&lt; Ir a la caracterización del objeto de dominio" xr:uid="{B05AC098-7835-46C2-84CF-E9F9D770670D}"/>
    <hyperlink ref="F1:I1" location="'M-Departamento'!A1" display="Ir al muestreo de datos del objeto de dominio &gt;&gt;" xr:uid="{BCAA9B68-573E-4BA4-9DEB-7591ACC55CEA}"/>
    <hyperlink ref="D7" location="'C-Pais'!A1" display="Pais" xr:uid="{341BB858-FE70-402E-A50B-54AB41B60967}"/>
    <hyperlink ref="C10" location="'C-Departamento'!A6" display="'C-Departamento'!A6" xr:uid="{FFF2B62C-C64B-4C34-A176-2DCBB79B254C}"/>
    <hyperlink ref="C11" location="'C-Departamento'!A7" display="'C-Departamento'!A7" xr:uid="{C4611B76-CFC6-4087-917F-52EDDCEA9EC5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BD03-E322-4A58-91D1-CD429C232A69}">
  <dimension ref="A1:P19"/>
  <sheetViews>
    <sheetView workbookViewId="0">
      <pane ySplit="1" topLeftCell="A3" activePane="bottomLeft" state="frozen"/>
      <selection pane="bottomLeft" activeCell="D6" sqref="D6"/>
    </sheetView>
  </sheetViews>
  <sheetFormatPr defaultColWidth="10.85546875" defaultRowHeight="14.45"/>
  <cols>
    <col min="1" max="1" width="29.85546875" style="3" customWidth="1"/>
    <col min="2" max="3" width="33.42578125" style="3" customWidth="1"/>
    <col min="4" max="4" width="21.28515625" style="3" bestFit="1" customWidth="1"/>
    <col min="5" max="5" width="13" style="3" bestFit="1" customWidth="1"/>
    <col min="6" max="6" width="14.5703125" style="3" bestFit="1" customWidth="1"/>
    <col min="7" max="7" width="13.28515625" style="3" bestFit="1" customWidth="1"/>
    <col min="8" max="8" width="14.85546875" style="3" bestFit="1" customWidth="1"/>
    <col min="9" max="9" width="13.85546875" style="3" bestFit="1" customWidth="1"/>
    <col min="10" max="10" width="15.28515625" style="3" bestFit="1" customWidth="1"/>
    <col min="11" max="11" width="17.42578125" style="3" bestFit="1" customWidth="1"/>
    <col min="12" max="12" width="6.5703125" style="3" bestFit="1" customWidth="1"/>
    <col min="13" max="13" width="12.5703125" style="3" bestFit="1" customWidth="1"/>
    <col min="14" max="14" width="4.28515625" style="3" bestFit="1" customWidth="1"/>
    <col min="15" max="15" width="14.7109375" style="3" bestFit="1" customWidth="1"/>
    <col min="16" max="16" width="4.85546875" style="3" bestFit="1" customWidth="1"/>
    <col min="17" max="16384" width="10.85546875" style="3"/>
  </cols>
  <sheetData>
    <row r="1" spans="1:16">
      <c r="A1" s="120" t="s">
        <v>24</v>
      </c>
      <c r="B1" s="120"/>
      <c r="C1" s="11"/>
      <c r="D1" s="121" t="s">
        <v>25</v>
      </c>
      <c r="E1" s="121"/>
      <c r="F1" s="121"/>
      <c r="G1" s="120" t="s">
        <v>27</v>
      </c>
      <c r="H1" s="120"/>
      <c r="I1" s="120"/>
      <c r="J1" s="120"/>
    </row>
    <row r="2" spans="1:16">
      <c r="A2" s="24" t="s">
        <v>28</v>
      </c>
      <c r="B2" s="122" t="str">
        <f>ListadoObjetosDominio!B6</f>
        <v>Departamento</v>
      </c>
      <c r="C2" s="122"/>
      <c r="D2" s="122"/>
    </row>
    <row r="3" spans="1:16" ht="52.5" customHeight="1">
      <c r="A3" s="24" t="s">
        <v>29</v>
      </c>
      <c r="B3" s="123" t="str">
        <f>ListadoObjetosDominio!C6</f>
        <v>Objeto de dominio que representa a cada uno de los departamentos de un país, donde se encuentran las ciudades donde están ubicadas las sedes de la veterinaria y donde también pueden vivir los dueños</v>
      </c>
      <c r="C3" s="123"/>
      <c r="D3" s="123"/>
    </row>
    <row r="4" spans="1:16" ht="35.450000000000003" customHeight="1">
      <c r="A4" s="19" t="s">
        <v>30</v>
      </c>
      <c r="B4" s="19" t="s">
        <v>79</v>
      </c>
      <c r="C4" s="19" t="s">
        <v>80</v>
      </c>
      <c r="D4" s="19" t="s">
        <v>81</v>
      </c>
    </row>
    <row r="5" spans="1:16" s="5" customFormat="1">
      <c r="A5" s="20" t="s">
        <v>34</v>
      </c>
      <c r="B5" s="20" t="s">
        <v>35</v>
      </c>
      <c r="C5" s="26" t="s">
        <v>82</v>
      </c>
      <c r="D5" s="21" t="s">
        <v>37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>
      <c r="A6" s="22">
        <v>1</v>
      </c>
      <c r="B6" s="6" t="s">
        <v>83</v>
      </c>
      <c r="C6" s="27" t="str">
        <f>'M-Pais'!C6</f>
        <v>Colombia</v>
      </c>
      <c r="D6" s="23" t="str">
        <f>_xlfn.CONCAT(B6,"-",C6)</f>
        <v>Antioquia-Colombia</v>
      </c>
      <c r="J6" s="15"/>
      <c r="O6" s="16"/>
    </row>
    <row r="7" spans="1:16">
      <c r="A7" s="22">
        <v>2</v>
      </c>
      <c r="B7" s="6" t="s">
        <v>84</v>
      </c>
      <c r="C7" s="27" t="str">
        <f>'M-Pais'!C6</f>
        <v>Colombia</v>
      </c>
      <c r="D7" s="23" t="str">
        <f t="shared" ref="D7:D10" si="0">_xlfn.CONCAT(B7,"-",C7)</f>
        <v>Guajira-Colombia</v>
      </c>
      <c r="J7" s="15"/>
      <c r="O7" s="16"/>
    </row>
    <row r="8" spans="1:16">
      <c r="A8" s="22">
        <v>3</v>
      </c>
      <c r="B8" s="6" t="s">
        <v>85</v>
      </c>
      <c r="C8" s="27" t="str">
        <f>'M-Pais'!C6</f>
        <v>Colombia</v>
      </c>
      <c r="D8" s="23" t="str">
        <f t="shared" si="0"/>
        <v>Cundinamarca-Colombia</v>
      </c>
      <c r="J8" s="15"/>
      <c r="O8" s="16"/>
    </row>
    <row r="9" spans="1:16">
      <c r="A9" s="22">
        <v>4</v>
      </c>
      <c r="B9" s="6" t="s">
        <v>86</v>
      </c>
      <c r="C9" s="27" t="str">
        <f>'M-Pais'!C10</f>
        <v>Argentina</v>
      </c>
      <c r="D9" s="23" t="str">
        <f t="shared" si="0"/>
        <v>Andalgalá-Argentina</v>
      </c>
      <c r="J9" s="15"/>
      <c r="O9" s="16"/>
    </row>
    <row r="10" spans="1:16">
      <c r="A10" s="22">
        <v>5</v>
      </c>
      <c r="B10" s="6" t="s">
        <v>87</v>
      </c>
      <c r="C10" s="27" t="str">
        <f>'M-Pais'!C10</f>
        <v>Argentina</v>
      </c>
      <c r="D10" s="23" t="str">
        <f t="shared" si="0"/>
        <v>Angaco-Argentina</v>
      </c>
    </row>
    <row r="13" spans="1:16">
      <c r="A13" s="25"/>
      <c r="B13" s="3" t="s">
        <v>43</v>
      </c>
    </row>
    <row r="14" spans="1:16">
      <c r="A14" s="17"/>
      <c r="B14" s="3" t="s">
        <v>44</v>
      </c>
    </row>
    <row r="15" spans="1:16">
      <c r="A15" s="18"/>
      <c r="B15" s="3" t="s">
        <v>45</v>
      </c>
    </row>
    <row r="16" spans="1:16">
      <c r="B16" s="3" t="s">
        <v>46</v>
      </c>
    </row>
    <row r="17" spans="1:2">
      <c r="A17" s="13"/>
      <c r="B17" s="3" t="s">
        <v>47</v>
      </c>
    </row>
    <row r="18" spans="1:2">
      <c r="A18" s="14"/>
      <c r="B18" s="3" t="s">
        <v>48</v>
      </c>
    </row>
    <row r="19" spans="1:2">
      <c r="A19" s="28"/>
      <c r="B19" s="3" t="s">
        <v>49</v>
      </c>
    </row>
  </sheetData>
  <mergeCells count="5">
    <mergeCell ref="A1:B1"/>
    <mergeCell ref="D1:F1"/>
    <mergeCell ref="G1:J1"/>
    <mergeCell ref="B2:D2"/>
    <mergeCell ref="B3:D3"/>
  </mergeCells>
  <hyperlinks>
    <hyperlink ref="A1:B1" location="ModeloDominio!A1" display="&lt;&lt; Ir al modelo de dominio" xr:uid="{48B5A41C-E676-4413-A28D-15B38E1DB376}"/>
    <hyperlink ref="D1" location="ListadoObjetosDominio!A1" display="&lt;&lt; Ir al listado de objetos de dominio" xr:uid="{88846BF0-CE4A-41E4-89F1-D711E8145F3A}"/>
    <hyperlink ref="G1" location="'C-Dueno'!A1" display="&lt;&lt; Ir a la caracterización del objeto de dominio" xr:uid="{086CF723-6E7B-4094-AC12-468146191B2B}"/>
    <hyperlink ref="G1:J1" location="'C-Departamento'!A1" display="&lt;&lt; Ir a la caracterización del objeto de dominio" xr:uid="{63AB142C-5D2A-47AF-BB92-AB559BFAFD01}"/>
    <hyperlink ref="C6" location="'M-Pais'!A6" display="'M-Pais'!A6" xr:uid="{7A525F71-6832-4005-A72F-78D35AC7B6F0}"/>
    <hyperlink ref="C7" location="'M-Pais'!A6" display="'M-Pais'!A6" xr:uid="{35A5DBFF-DEC6-48E1-8713-013CF194DA1D}"/>
    <hyperlink ref="C8" location="'M-Pais'!A6" display="'M-Pais'!A6" xr:uid="{381738D7-1D29-4B67-8392-C262B5B92D39}"/>
    <hyperlink ref="C9" location="'M-Pais'!A10" display="'M-Pais'!A10" xr:uid="{2D20A0C5-28CB-4DA0-96E3-FBDA4FFFB461}"/>
    <hyperlink ref="C10" location="'M-Pais'!A10" display="'M-Pais'!A10" xr:uid="{91100DB6-1E7C-4DB1-8DB7-BC90DFBFC99F}"/>
    <hyperlink ref="C5" location="'M-Pais'!A1" display="pais" xr:uid="{34DB4A5B-B2B8-4E1A-8A7A-5F183F8A7E4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5E41-5FFF-4FA3-8E4F-D1C47734F329}">
  <dimension ref="A1:I1"/>
  <sheetViews>
    <sheetView workbookViewId="0">
      <pane ySplit="1" topLeftCell="A2" activePane="bottomLeft" state="frozen"/>
      <selection pane="bottomLeft" activeCell="F1" sqref="F1:I1"/>
    </sheetView>
  </sheetViews>
  <sheetFormatPr defaultColWidth="10.85546875" defaultRowHeight="14.45"/>
  <cols>
    <col min="1" max="16384" width="10.85546875" style="1"/>
  </cols>
  <sheetData>
    <row r="1" spans="1:9">
      <c r="A1" s="118" t="s">
        <v>24</v>
      </c>
      <c r="B1" s="118"/>
      <c r="C1" s="119" t="s">
        <v>25</v>
      </c>
      <c r="D1" s="119"/>
      <c r="E1" s="119"/>
      <c r="F1" s="118" t="s">
        <v>26</v>
      </c>
      <c r="G1" s="118"/>
      <c r="H1" s="118"/>
      <c r="I1" s="118"/>
    </row>
  </sheetData>
  <mergeCells count="3">
    <mergeCell ref="A1:B1"/>
    <mergeCell ref="C1:E1"/>
    <mergeCell ref="F1:I1"/>
  </mergeCells>
  <hyperlinks>
    <hyperlink ref="A1:B1" location="ModeloDominio!A1" display="&lt;&lt; Ir al modelo de dominio" xr:uid="{B5425E40-5180-4ADA-BD77-847077CA7C1E}"/>
    <hyperlink ref="C1" location="ListadoObjetosDominio!A1" display="&lt;&lt; Ir al listado de objetos de dominio" xr:uid="{FD99199F-5EA9-4BD9-8E47-A403458047ED}"/>
    <hyperlink ref="F1" location="'C-Dueno'!A1" display="&lt;&lt; Ir a la caracterización del objeto de dominio" xr:uid="{F17D9991-5446-4018-A9C5-C433CE0961E3}"/>
    <hyperlink ref="F1:I1" location="'M-Dueno'!A1" display="Ir al muestredo de datos del objeto de dominio &gt;&gt;" xr:uid="{AFC61BE0-B128-434A-B96F-B351683B25B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C5BA-B7FE-4378-90D7-128C856F641F}">
  <dimension ref="A1:Z21"/>
  <sheetViews>
    <sheetView topLeftCell="G1" workbookViewId="0">
      <pane ySplit="1" topLeftCell="A3" activePane="bottomLeft" state="frozen"/>
      <selection pane="bottomLeft" activeCell="L13" sqref="L13"/>
    </sheetView>
  </sheetViews>
  <sheetFormatPr defaultColWidth="10.85546875" defaultRowHeight="14.45"/>
  <cols>
    <col min="1" max="1" width="29.85546875" style="3" customWidth="1"/>
    <col min="2" max="2" width="33.42578125" style="3" customWidth="1"/>
    <col min="3" max="3" width="19.140625" style="3" bestFit="1" customWidth="1"/>
    <col min="4" max="4" width="13" style="3" bestFit="1" customWidth="1"/>
    <col min="5" max="5" width="14.5703125" style="3" bestFit="1" customWidth="1"/>
    <col min="6" max="6" width="13.28515625" style="3" bestFit="1" customWidth="1"/>
    <col min="7" max="7" width="14.85546875" style="3" bestFit="1" customWidth="1"/>
    <col min="8" max="8" width="14.42578125" style="3" bestFit="1" customWidth="1"/>
    <col min="9" max="9" width="30.85546875" style="3" customWidth="1"/>
    <col min="10" max="10" width="23.85546875" style="3" bestFit="1" customWidth="1"/>
    <col min="11" max="11" width="33.42578125" style="3" customWidth="1"/>
    <col min="12" max="12" width="23.85546875" style="3" bestFit="1" customWidth="1"/>
    <col min="13" max="13" width="32" style="3" customWidth="1"/>
    <col min="14" max="14" width="41.5703125" style="3" bestFit="1" customWidth="1"/>
    <col min="15" max="16" width="18.5703125" style="3" bestFit="1" customWidth="1"/>
    <col min="17" max="17" width="13.28515625" style="3" bestFit="1" customWidth="1"/>
    <col min="18" max="18" width="14.85546875" style="3" bestFit="1" customWidth="1"/>
    <col min="19" max="19" width="13.85546875" style="3" bestFit="1" customWidth="1"/>
    <col min="20" max="20" width="15.28515625" style="3" bestFit="1" customWidth="1"/>
    <col min="21" max="21" width="17.42578125" style="3" bestFit="1" customWidth="1"/>
    <col min="22" max="22" width="6.5703125" style="3" bestFit="1" customWidth="1"/>
    <col min="23" max="23" width="12.5703125" style="3" bestFit="1" customWidth="1"/>
    <col min="24" max="24" width="4.28515625" style="3" bestFit="1" customWidth="1"/>
    <col min="25" max="25" width="14.7109375" style="3" bestFit="1" customWidth="1"/>
    <col min="26" max="26" width="4.85546875" style="3" bestFit="1" customWidth="1"/>
    <col min="27" max="16384" width="10.85546875" style="3"/>
  </cols>
  <sheetData>
    <row r="1" spans="1:26">
      <c r="A1" s="120" t="s">
        <v>24</v>
      </c>
      <c r="B1" s="12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1" t="s">
        <v>25</v>
      </c>
      <c r="O1" s="121"/>
      <c r="P1" s="121"/>
      <c r="Q1" s="120" t="s">
        <v>27</v>
      </c>
      <c r="R1" s="120"/>
      <c r="S1" s="120"/>
      <c r="T1" s="120"/>
    </row>
    <row r="2" spans="1:26">
      <c r="A2" s="24" t="s">
        <v>28</v>
      </c>
      <c r="B2" s="122" t="str">
        <f>ListadoObjetosDominio!B7</f>
        <v>Ciudad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3" spans="1:26" ht="52.5" customHeight="1">
      <c r="A3" s="24" t="s">
        <v>29</v>
      </c>
      <c r="B3" s="123" t="str">
        <f>ListadoObjetosDominio!C7</f>
        <v>Objeto de dominio que representa a cada una de las ciudades de los departamentos de un país, donde se encuentran  las sedes de la veterinaria y donde también pueden vivir los dueños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</row>
    <row r="4" spans="1:26" ht="35.450000000000003" customHeight="1">
      <c r="A4" s="19" t="s">
        <v>30</v>
      </c>
      <c r="B4" s="19" t="s">
        <v>88</v>
      </c>
      <c r="C4" s="19"/>
      <c r="D4" s="19"/>
      <c r="E4" s="19"/>
      <c r="F4" s="19"/>
      <c r="G4" s="19"/>
      <c r="H4" s="19"/>
      <c r="I4" s="19" t="s">
        <v>89</v>
      </c>
      <c r="J4" s="19"/>
      <c r="K4" s="19" t="s">
        <v>90</v>
      </c>
      <c r="L4" s="19"/>
      <c r="M4" s="19" t="s">
        <v>91</v>
      </c>
      <c r="N4" s="19" t="s">
        <v>92</v>
      </c>
    </row>
    <row r="5" spans="1:26" s="5" customFormat="1">
      <c r="A5" s="20" t="s">
        <v>34</v>
      </c>
      <c r="B5" s="26" t="s">
        <v>93</v>
      </c>
      <c r="C5" s="20" t="s">
        <v>94</v>
      </c>
      <c r="D5" s="20" t="s">
        <v>95</v>
      </c>
      <c r="E5" s="20" t="s">
        <v>96</v>
      </c>
      <c r="F5" s="20" t="s">
        <v>97</v>
      </c>
      <c r="G5" s="20" t="s">
        <v>98</v>
      </c>
      <c r="H5" s="20" t="s">
        <v>99</v>
      </c>
      <c r="I5" s="20" t="s">
        <v>100</v>
      </c>
      <c r="J5" s="20" t="s">
        <v>101</v>
      </c>
      <c r="K5" s="26" t="s">
        <v>102</v>
      </c>
      <c r="L5" s="29" t="s">
        <v>103</v>
      </c>
      <c r="M5" s="20" t="s">
        <v>104</v>
      </c>
      <c r="N5" s="21" t="s">
        <v>37</v>
      </c>
      <c r="O5" s="33" t="s">
        <v>105</v>
      </c>
      <c r="P5" s="35" t="s">
        <v>106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22">
        <v>1</v>
      </c>
      <c r="B6" s="27" t="str">
        <f>'M-TipoDocumentoIdentificacion'!C6</f>
        <v>Cédula</v>
      </c>
      <c r="C6" s="6">
        <v>123456</v>
      </c>
      <c r="D6" s="6" t="s">
        <v>107</v>
      </c>
      <c r="E6" s="6" t="s">
        <v>108</v>
      </c>
      <c r="F6" s="6" t="s">
        <v>109</v>
      </c>
      <c r="G6" s="6"/>
      <c r="H6" s="6">
        <v>3056789065</v>
      </c>
      <c r="I6" s="6" t="s">
        <v>110</v>
      </c>
      <c r="J6" s="6" t="s">
        <v>111</v>
      </c>
      <c r="K6" s="27" t="str">
        <f>'M-Ciudad'!D6</f>
        <v>Rionegro-Antioquia-Colombia</v>
      </c>
      <c r="L6" s="30">
        <v>29250</v>
      </c>
      <c r="M6" s="31">
        <v>46</v>
      </c>
      <c r="N6" s="23" t="str">
        <f>_xlfn.CONCAT(B6,"-",C6)</f>
        <v>Cédula-123456</v>
      </c>
      <c r="O6" s="34">
        <f>H6</f>
        <v>3056789065</v>
      </c>
      <c r="P6" s="36" t="str">
        <f>I6</f>
        <v>sofia@gmail.com</v>
      </c>
      <c r="T6" s="15"/>
      <c r="Y6" s="16"/>
    </row>
    <row r="7" spans="1:26">
      <c r="A7" s="22">
        <v>2</v>
      </c>
      <c r="B7" s="27" t="str">
        <f>'M-TipoDocumentoIdentificacion'!C6</f>
        <v>Cédula</v>
      </c>
      <c r="C7" s="6">
        <v>9876543</v>
      </c>
      <c r="D7" s="6" t="s">
        <v>112</v>
      </c>
      <c r="E7" s="6"/>
      <c r="F7" s="6" t="s">
        <v>113</v>
      </c>
      <c r="G7" s="6" t="s">
        <v>114</v>
      </c>
      <c r="H7" s="6">
        <v>3008765432</v>
      </c>
      <c r="I7" s="6" t="s">
        <v>115</v>
      </c>
      <c r="J7" s="6" t="s">
        <v>116</v>
      </c>
      <c r="K7" s="27" t="str">
        <f>'M-Ciudad'!D6</f>
        <v>Rionegro-Antioquia-Colombia</v>
      </c>
      <c r="L7" s="30">
        <v>36582</v>
      </c>
      <c r="M7" s="31">
        <v>26</v>
      </c>
      <c r="N7" s="23" t="str">
        <f t="shared" ref="N7:N9" si="0">_xlfn.CONCAT(B7,"-",C7)</f>
        <v>Cédula-9876543</v>
      </c>
      <c r="O7" s="34">
        <f t="shared" ref="O7:O9" si="1">H7</f>
        <v>3008765432</v>
      </c>
      <c r="P7" s="36" t="str">
        <f t="shared" ref="P7:P9" si="2">I7</f>
        <v>c@hotmail.com</v>
      </c>
      <c r="T7" s="15"/>
      <c r="Y7" s="16"/>
    </row>
    <row r="8" spans="1:26">
      <c r="A8" s="22">
        <v>3</v>
      </c>
      <c r="B8" s="27" t="str">
        <f>'M-TipoDocumentoIdentificacion'!C7</f>
        <v>Tarjeta de Identidad</v>
      </c>
      <c r="C8" s="6">
        <v>6452376</v>
      </c>
      <c r="D8" s="6" t="s">
        <v>117</v>
      </c>
      <c r="E8" s="6" t="s">
        <v>118</v>
      </c>
      <c r="F8" s="6" t="s">
        <v>119</v>
      </c>
      <c r="G8" s="6" t="s">
        <v>120</v>
      </c>
      <c r="H8" s="6">
        <v>3076543897</v>
      </c>
      <c r="I8" s="6" t="s">
        <v>121</v>
      </c>
      <c r="J8" s="6" t="s">
        <v>122</v>
      </c>
      <c r="K8" s="27" t="str">
        <f>'M-Ciudad'!D6</f>
        <v>Rionegro-Antioquia-Colombia</v>
      </c>
      <c r="L8" s="30">
        <v>42369</v>
      </c>
      <c r="M8" s="31">
        <v>11</v>
      </c>
      <c r="N8" s="23" t="str">
        <f t="shared" si="0"/>
        <v>Tarjeta de Identidad-6452376</v>
      </c>
      <c r="O8" s="34">
        <f t="shared" si="1"/>
        <v>3076543897</v>
      </c>
      <c r="P8" s="36" t="str">
        <f t="shared" si="2"/>
        <v>peñita@gmail.co</v>
      </c>
      <c r="T8" s="15"/>
      <c r="Y8" s="16"/>
    </row>
    <row r="9" spans="1:26">
      <c r="A9" s="22">
        <v>4</v>
      </c>
      <c r="B9" s="27" t="str">
        <f>'M-TipoDocumentoIdentificacion'!C7</f>
        <v>Tarjeta de Identidad</v>
      </c>
      <c r="C9" s="6">
        <v>8423798</v>
      </c>
      <c r="D9" s="6" t="s">
        <v>123</v>
      </c>
      <c r="E9" s="6" t="s">
        <v>124</v>
      </c>
      <c r="F9" s="6" t="s">
        <v>125</v>
      </c>
      <c r="G9" s="6" t="s">
        <v>126</v>
      </c>
      <c r="H9" s="6">
        <v>3004567890</v>
      </c>
      <c r="I9" s="6" t="s">
        <v>127</v>
      </c>
      <c r="J9" s="6" t="s">
        <v>128</v>
      </c>
      <c r="K9" s="27" t="str">
        <f>'M-Ciudad'!D6</f>
        <v>Rionegro-Antioquia-Colombia</v>
      </c>
      <c r="L9" s="30">
        <v>40543</v>
      </c>
      <c r="M9" s="31">
        <v>16</v>
      </c>
      <c r="N9" s="23" t="str">
        <f t="shared" si="0"/>
        <v>Tarjeta de Identidad-8423798</v>
      </c>
      <c r="O9" s="34">
        <f t="shared" si="1"/>
        <v>3004567890</v>
      </c>
      <c r="P9" s="36" t="str">
        <f t="shared" si="2"/>
        <v>clarita@gmail.com</v>
      </c>
      <c r="T9" s="15"/>
      <c r="Y9" s="16"/>
    </row>
    <row r="12" spans="1:26">
      <c r="A12" s="25"/>
      <c r="B12" s="3" t="s">
        <v>43</v>
      </c>
    </row>
    <row r="13" spans="1:26">
      <c r="A13" s="17"/>
      <c r="B13" s="3" t="s">
        <v>44</v>
      </c>
    </row>
    <row r="14" spans="1:26">
      <c r="A14" s="18"/>
      <c r="B14" s="3" t="s">
        <v>45</v>
      </c>
    </row>
    <row r="15" spans="1:26">
      <c r="B15" s="3" t="s">
        <v>46</v>
      </c>
    </row>
    <row r="16" spans="1:26">
      <c r="A16" s="13"/>
      <c r="B16" s="3" t="s">
        <v>47</v>
      </c>
    </row>
    <row r="17" spans="1:2">
      <c r="A17" s="14"/>
      <c r="B17" s="3" t="s">
        <v>48</v>
      </c>
    </row>
    <row r="18" spans="1:2">
      <c r="A18" s="34"/>
      <c r="B18" s="3" t="s">
        <v>129</v>
      </c>
    </row>
    <row r="19" spans="1:2">
      <c r="A19" s="36"/>
      <c r="B19" s="3" t="s">
        <v>130</v>
      </c>
    </row>
    <row r="20" spans="1:2">
      <c r="A20" s="28"/>
      <c r="B20" s="3" t="s">
        <v>49</v>
      </c>
    </row>
    <row r="21" spans="1:2">
      <c r="A21" s="32"/>
      <c r="B21" s="3" t="s">
        <v>131</v>
      </c>
    </row>
  </sheetData>
  <mergeCells count="5">
    <mergeCell ref="A1:B1"/>
    <mergeCell ref="N1:P1"/>
    <mergeCell ref="Q1:T1"/>
    <mergeCell ref="B2:N2"/>
    <mergeCell ref="B3:N3"/>
  </mergeCells>
  <hyperlinks>
    <hyperlink ref="A1:B1" location="ModeloDominio!A1" display="&lt;&lt; Ir al modelo de dominio" xr:uid="{B88BA2AE-EB94-4EE5-B20B-E96D47062231}"/>
    <hyperlink ref="N1" location="ListadoObjetosDominio!A1" display="&lt;&lt; Ir al listado de objetos de dominio" xr:uid="{67FE50D3-1B7C-4922-A2E5-9439483594CC}"/>
    <hyperlink ref="Q1" location="'C-Dueno'!A1" display="&lt;&lt; Ir a la caracterización del objeto de dominio" xr:uid="{3B5143EF-98A0-4AC3-8DEA-46B7CBF87E54}"/>
    <hyperlink ref="Q1:T1" location="'C-Dueno'!A1" display="&lt;&lt; Ir a la caracterización del objeto de dominio" xr:uid="{B228A113-82F9-48E7-A72D-82E1F35B23E9}"/>
    <hyperlink ref="K6" location="'M-Ciudad'!A6" display="'M-Ciudad'!A6" xr:uid="{90F555B0-2277-44A4-87EC-144F38C4B99D}"/>
    <hyperlink ref="K5" location="'M-Ciudad'!A1" display="ciudadResidencia" xr:uid="{C2F4D947-E2B7-499A-B160-A6CED6CE6FB8}"/>
    <hyperlink ref="B6" location="'M-TipoDocumentoIdentificacion'!A6" display="'M-TipoDocumentoIdentificacion'!A6" xr:uid="{58C89231-DE6C-4BA0-9E9D-B4424C90CB31}"/>
    <hyperlink ref="B7" location="'M-TipoDocumentoIdentificacion'!A6" display="'M-TipoDocumentoIdentificacion'!A6" xr:uid="{7EA1295D-C222-4D7B-AC79-0CDBA857472A}"/>
    <hyperlink ref="B8" location="'M-TipoDocumentoIdentificacion'!A7" display="'M-TipoDocumentoIdentificacion'!A7" xr:uid="{3F79F912-37D1-456F-94D8-E2C174057649}"/>
    <hyperlink ref="B9" location="'M-TipoDocumentoIdentificacion'!A7" display="'M-TipoDocumentoIdentificacion'!A7" xr:uid="{27C15267-065A-4A1D-A4FD-B589B4125CE7}"/>
    <hyperlink ref="B5" location="'M-TipoDocumentoIdentificacion'!A1" display="tipoDocumentoIdentificacion" xr:uid="{2B42DF2C-412C-46C0-9E8D-D8EDBDA200BC}"/>
    <hyperlink ref="K7" location="'M-Ciudad'!A6" display="'M-Ciudad'!A6" xr:uid="{E8474801-CAB6-4CD5-AB7B-985C76474F51}"/>
    <hyperlink ref="K8" location="'M-Ciudad'!A6" display="'M-Ciudad'!A6" xr:uid="{7DF3DF32-E0BC-4F09-B28F-BBB3E8CDF151}"/>
    <hyperlink ref="K9" location="'M-Ciudad'!A6" display="'M-Ciudad'!A6" xr:uid="{AEF53E43-40D6-475C-97B2-A734B6E59BC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56ED-6F9E-4268-B63C-0B2537526708}">
  <dimension ref="A1:U20"/>
  <sheetViews>
    <sheetView tabSelected="1" topLeftCell="O1" workbookViewId="0">
      <pane ySplit="1" topLeftCell="A2" activePane="bottomLeft" state="frozen"/>
      <selection pane="bottomLeft" activeCell="Q17" sqref="Q17"/>
    </sheetView>
  </sheetViews>
  <sheetFormatPr defaultColWidth="10.85546875" defaultRowHeight="14.45"/>
  <cols>
    <col min="1" max="1" width="24.140625" style="3" bestFit="1" customWidth="1"/>
    <col min="2" max="2" width="50.7109375" style="3" bestFit="1" customWidth="1"/>
    <col min="3" max="3" width="30.28515625" style="3" bestFit="1" customWidth="1"/>
    <col min="4" max="4" width="23.5703125" style="3" bestFit="1" customWidth="1"/>
    <col min="5" max="5" width="10" style="3" bestFit="1" customWidth="1"/>
    <col min="6" max="6" width="23.7109375" style="3" bestFit="1" customWidth="1"/>
    <col min="7" max="7" width="24" style="3" bestFit="1" customWidth="1"/>
    <col min="8" max="8" width="17.42578125" style="3" bestFit="1" customWidth="1"/>
    <col min="9" max="9" width="19.140625" style="3" bestFit="1" customWidth="1"/>
    <col min="10" max="10" width="20.42578125" style="3" bestFit="1" customWidth="1"/>
    <col min="11" max="11" width="18.85546875" style="3" bestFit="1" customWidth="1"/>
    <col min="12" max="12" width="16.42578125" style="3" bestFit="1" customWidth="1"/>
    <col min="13" max="13" width="39.85546875" style="3" bestFit="1" customWidth="1"/>
    <col min="14" max="14" width="13.42578125" style="3" bestFit="1" customWidth="1"/>
    <col min="15" max="15" width="27.5703125" style="3" bestFit="1" customWidth="1"/>
    <col min="16" max="16" width="24.85546875" style="3" bestFit="1" customWidth="1"/>
    <col min="17" max="17" width="38.42578125" style="3" bestFit="1" customWidth="1"/>
    <col min="18" max="18" width="35.85546875" style="3" bestFit="1" customWidth="1"/>
    <col min="19" max="19" width="21" style="3" bestFit="1" customWidth="1"/>
    <col min="20" max="20" width="23.7109375" style="3" bestFit="1" customWidth="1"/>
    <col min="21" max="21" width="12.7109375" style="3" bestFit="1" customWidth="1"/>
    <col min="22" max="16384" width="10.85546875" style="3"/>
  </cols>
  <sheetData>
    <row r="1" spans="1:21">
      <c r="A1" s="110" t="s">
        <v>24</v>
      </c>
      <c r="B1" s="110"/>
      <c r="C1" s="2"/>
      <c r="D1" s="111" t="s">
        <v>25</v>
      </c>
      <c r="E1" s="111"/>
      <c r="F1" s="111"/>
      <c r="G1" s="110" t="s">
        <v>26</v>
      </c>
      <c r="H1" s="110"/>
      <c r="I1" s="110"/>
      <c r="J1" s="110"/>
    </row>
    <row r="2" spans="1:21">
      <c r="A2" s="24" t="s">
        <v>3</v>
      </c>
      <c r="B2" s="112" t="str">
        <f>ListadoObjetosDominio!B3</f>
        <v>Pais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4"/>
    </row>
    <row r="3" spans="1:21" ht="14.45" customHeight="1">
      <c r="A3" s="24" t="s">
        <v>4</v>
      </c>
      <c r="B3" s="115" t="str">
        <f>ListadoObjetosDominio!C3</f>
        <v>Objeto de dominio que representa a cada uno de los países a los que pertenecen los departamentos y ciudades donde están ubicadas las sedes de la veterinaria y donde también pueden vivir los dueños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7"/>
    </row>
    <row r="4" spans="1:21" s="5" customFormat="1">
      <c r="A4" s="40" t="s">
        <v>50</v>
      </c>
      <c r="B4" s="40" t="s">
        <v>51</v>
      </c>
      <c r="C4" s="40" t="s">
        <v>52</v>
      </c>
      <c r="D4" s="40" t="s">
        <v>53</v>
      </c>
      <c r="E4" s="40" t="s">
        <v>54</v>
      </c>
      <c r="F4" s="40" t="s">
        <v>55</v>
      </c>
      <c r="G4" s="40" t="s">
        <v>56</v>
      </c>
      <c r="H4" s="40" t="s">
        <v>57</v>
      </c>
      <c r="I4" s="40" t="s">
        <v>58</v>
      </c>
      <c r="J4" s="40" t="s">
        <v>59</v>
      </c>
      <c r="K4" s="40" t="s">
        <v>60</v>
      </c>
      <c r="L4" s="40" t="s">
        <v>61</v>
      </c>
      <c r="M4" s="40" t="s">
        <v>62</v>
      </c>
      <c r="N4" s="40" t="s">
        <v>63</v>
      </c>
      <c r="O4" s="40" t="s">
        <v>64</v>
      </c>
      <c r="P4" s="40" t="s">
        <v>65</v>
      </c>
      <c r="Q4" s="40" t="s">
        <v>66</v>
      </c>
      <c r="R4" s="40" t="s">
        <v>67</v>
      </c>
      <c r="S4" s="40" t="s">
        <v>68</v>
      </c>
      <c r="T4" s="40" t="s">
        <v>69</v>
      </c>
      <c r="U4" s="40" t="s">
        <v>70</v>
      </c>
    </row>
    <row r="5" spans="1:21">
      <c r="A5" s="41" t="str">
        <f>'M-Pais'!A5</f>
        <v>id</v>
      </c>
      <c r="B5" s="42" t="str">
        <f>'M-Pais'!A4</f>
        <v>Representa el identificador único de cada objeto de dominio.</v>
      </c>
      <c r="C5" s="41" t="s">
        <v>71</v>
      </c>
      <c r="D5" s="41" t="s">
        <v>72</v>
      </c>
      <c r="E5" s="41" t="s">
        <v>71</v>
      </c>
      <c r="F5" s="41"/>
      <c r="G5" s="41"/>
      <c r="H5" s="41"/>
      <c r="I5" s="41"/>
      <c r="J5" s="41"/>
      <c r="K5" s="41"/>
      <c r="L5" s="41"/>
      <c r="M5" s="41"/>
      <c r="N5" s="41" t="s">
        <v>73</v>
      </c>
      <c r="O5" s="41" t="s">
        <v>73</v>
      </c>
      <c r="P5" s="41"/>
      <c r="Q5" s="41" t="s">
        <v>73</v>
      </c>
      <c r="R5" s="41" t="s">
        <v>73</v>
      </c>
      <c r="S5" s="41" t="s">
        <v>73</v>
      </c>
      <c r="T5" s="41"/>
      <c r="U5" s="41" t="s">
        <v>71</v>
      </c>
    </row>
    <row r="6" spans="1:21" ht="57.95">
      <c r="A6" s="41" t="str">
        <f>'M-Pais'!B5</f>
        <v>nombre</v>
      </c>
      <c r="B6" s="42" t="str">
        <f>'M-Pais'!B4</f>
        <v>Representa el nombre de cada uno de los países en los cuales pueden estar presentes los dueños y la veterinaria</v>
      </c>
      <c r="C6" s="41" t="s">
        <v>73</v>
      </c>
      <c r="D6" s="41" t="s">
        <v>74</v>
      </c>
      <c r="E6" s="41" t="s">
        <v>71</v>
      </c>
      <c r="F6" s="41">
        <v>1</v>
      </c>
      <c r="G6" s="41">
        <v>50</v>
      </c>
      <c r="H6" s="41"/>
      <c r="I6" s="41"/>
      <c r="J6" s="41"/>
      <c r="K6" s="41"/>
      <c r="L6" s="41"/>
      <c r="M6" s="42" t="s">
        <v>75</v>
      </c>
      <c r="N6" s="41" t="s">
        <v>73</v>
      </c>
      <c r="O6" s="41" t="s">
        <v>73</v>
      </c>
      <c r="P6" s="41"/>
      <c r="Q6" s="41" t="s">
        <v>71</v>
      </c>
      <c r="R6" s="41" t="s">
        <v>71</v>
      </c>
      <c r="S6" s="41" t="s">
        <v>73</v>
      </c>
      <c r="T6" s="41"/>
      <c r="U6" s="41" t="s">
        <v>73</v>
      </c>
    </row>
    <row r="8" spans="1:21" s="5" customFormat="1">
      <c r="A8" s="39" t="s">
        <v>77</v>
      </c>
      <c r="B8" s="39" t="s">
        <v>4</v>
      </c>
      <c r="C8" s="39" t="s">
        <v>78</v>
      </c>
    </row>
    <row r="9" spans="1:21" ht="29.1">
      <c r="A9" s="23" t="str">
        <f>'M-Pais'!C5</f>
        <v>Combinación única 1</v>
      </c>
      <c r="B9" s="38" t="str">
        <f>'M-Pais'!C4</f>
        <v>Indica que no pueden existir dos países o más con el mismo nombre</v>
      </c>
      <c r="C9" s="44" t="str">
        <f>A6</f>
        <v>nombre</v>
      </c>
    </row>
    <row r="10" spans="1:21" ht="15" thickBot="1">
      <c r="U10" s="37"/>
    </row>
    <row r="11" spans="1:21" s="49" customFormat="1">
      <c r="A11" s="108" t="s">
        <v>132</v>
      </c>
      <c r="B11" s="99"/>
      <c r="C11" s="99" t="s">
        <v>4</v>
      </c>
      <c r="D11" s="99"/>
      <c r="E11" s="99"/>
      <c r="F11" s="99"/>
      <c r="G11" s="99" t="s">
        <v>133</v>
      </c>
      <c r="H11" s="99"/>
      <c r="I11" s="99"/>
      <c r="J11" s="99" t="s">
        <v>134</v>
      </c>
      <c r="K11" s="99"/>
      <c r="L11" s="99"/>
      <c r="M11" s="99"/>
      <c r="N11" s="99"/>
      <c r="O11" s="99" t="s">
        <v>135</v>
      </c>
      <c r="P11" s="99"/>
      <c r="Q11" s="99" t="s">
        <v>136</v>
      </c>
      <c r="R11" s="100"/>
    </row>
    <row r="12" spans="1:21" s="49" customFormat="1">
      <c r="A12" s="109"/>
      <c r="B12" s="101"/>
      <c r="C12" s="101"/>
      <c r="D12" s="101"/>
      <c r="E12" s="101"/>
      <c r="F12" s="101"/>
      <c r="G12" s="64" t="s">
        <v>137</v>
      </c>
      <c r="H12" s="64" t="s">
        <v>53</v>
      </c>
      <c r="I12" s="64" t="s">
        <v>4</v>
      </c>
      <c r="J12" s="64" t="s">
        <v>138</v>
      </c>
      <c r="K12" s="101" t="s">
        <v>4</v>
      </c>
      <c r="L12" s="101"/>
      <c r="M12" s="101"/>
      <c r="N12" s="101"/>
      <c r="O12" s="64" t="s">
        <v>139</v>
      </c>
      <c r="P12" s="64" t="s">
        <v>4</v>
      </c>
      <c r="Q12" s="64" t="s">
        <v>140</v>
      </c>
      <c r="R12" s="65" t="s">
        <v>141</v>
      </c>
    </row>
    <row r="13" spans="1:21" s="49" customFormat="1" ht="34.5" customHeight="1">
      <c r="A13" s="102" t="s">
        <v>142</v>
      </c>
      <c r="B13" s="103"/>
      <c r="C13" s="104" t="s">
        <v>143</v>
      </c>
      <c r="D13" s="104"/>
      <c r="E13" s="104"/>
      <c r="F13" s="104"/>
      <c r="G13" s="105" t="s">
        <v>144</v>
      </c>
      <c r="H13" s="105" t="s">
        <v>7</v>
      </c>
      <c r="I13" s="106" t="s">
        <v>145</v>
      </c>
      <c r="J13" s="107"/>
      <c r="K13" s="104"/>
      <c r="L13" s="104"/>
      <c r="M13" s="104"/>
      <c r="N13" s="104"/>
      <c r="O13" s="67" t="s">
        <v>146</v>
      </c>
      <c r="P13" s="66" t="s">
        <v>147</v>
      </c>
      <c r="Q13" s="66" t="s">
        <v>148</v>
      </c>
      <c r="R13" s="68" t="s">
        <v>149</v>
      </c>
    </row>
    <row r="14" spans="1:21" s="49" customFormat="1" ht="61.5" customHeight="1">
      <c r="A14" s="102"/>
      <c r="B14" s="103"/>
      <c r="C14" s="104"/>
      <c r="D14" s="104"/>
      <c r="E14" s="104"/>
      <c r="F14" s="104"/>
      <c r="G14" s="105"/>
      <c r="H14" s="105"/>
      <c r="I14" s="106"/>
      <c r="J14" s="107"/>
      <c r="K14" s="104"/>
      <c r="L14" s="104"/>
      <c r="M14" s="104"/>
      <c r="N14" s="104"/>
      <c r="O14" s="67" t="s">
        <v>150</v>
      </c>
      <c r="P14" s="66" t="s">
        <v>151</v>
      </c>
      <c r="Q14" s="66" t="s">
        <v>152</v>
      </c>
      <c r="R14" s="68" t="s">
        <v>153</v>
      </c>
    </row>
    <row r="15" spans="1:21" s="49" customFormat="1" ht="80.25" customHeight="1">
      <c r="A15" s="102"/>
      <c r="B15" s="103"/>
      <c r="C15" s="104"/>
      <c r="D15" s="104"/>
      <c r="E15" s="104"/>
      <c r="F15" s="104"/>
      <c r="G15" s="105"/>
      <c r="H15" s="105"/>
      <c r="I15" s="106"/>
      <c r="J15" s="107"/>
      <c r="K15" s="104"/>
      <c r="L15" s="104"/>
      <c r="M15" s="104"/>
      <c r="N15" s="104"/>
      <c r="O15" s="67" t="s">
        <v>154</v>
      </c>
      <c r="P15" s="66" t="s">
        <v>155</v>
      </c>
      <c r="Q15" s="66" t="s">
        <v>156</v>
      </c>
      <c r="R15" s="68" t="s">
        <v>153</v>
      </c>
    </row>
    <row r="16" spans="1:21" s="49" customFormat="1" ht="66.599999999999994" customHeight="1">
      <c r="A16" s="93" t="s">
        <v>157</v>
      </c>
      <c r="B16" s="94"/>
      <c r="C16" s="95" t="s">
        <v>158</v>
      </c>
      <c r="D16" s="95"/>
      <c r="E16" s="95"/>
      <c r="F16" s="95"/>
      <c r="G16" s="45" t="s">
        <v>34</v>
      </c>
      <c r="H16" s="45" t="s">
        <v>74</v>
      </c>
      <c r="I16" s="46" t="s">
        <v>159</v>
      </c>
      <c r="J16" s="45"/>
      <c r="K16" s="95"/>
      <c r="L16" s="95"/>
      <c r="M16" s="95"/>
      <c r="N16" s="95"/>
      <c r="O16" s="45" t="s">
        <v>160</v>
      </c>
      <c r="P16" s="46" t="s">
        <v>161</v>
      </c>
      <c r="Q16" s="46" t="s">
        <v>162</v>
      </c>
      <c r="R16" s="69" t="s">
        <v>153</v>
      </c>
    </row>
    <row r="17" spans="1:18" s="49" customFormat="1" ht="87">
      <c r="A17" s="96" t="s">
        <v>163</v>
      </c>
      <c r="B17" s="97"/>
      <c r="C17" s="98" t="s">
        <v>158</v>
      </c>
      <c r="D17" s="98"/>
      <c r="E17" s="98"/>
      <c r="F17" s="98"/>
      <c r="G17" s="71" t="s">
        <v>34</v>
      </c>
      <c r="H17" s="71" t="s">
        <v>74</v>
      </c>
      <c r="I17" s="70" t="s">
        <v>164</v>
      </c>
      <c r="J17" s="71" t="s">
        <v>7</v>
      </c>
      <c r="K17" s="98" t="s">
        <v>165</v>
      </c>
      <c r="L17" s="98"/>
      <c r="M17" s="98"/>
      <c r="N17" s="98"/>
      <c r="O17" s="71" t="s">
        <v>154</v>
      </c>
      <c r="P17" s="70" t="s">
        <v>155</v>
      </c>
      <c r="Q17" s="70" t="s">
        <v>156</v>
      </c>
      <c r="R17" s="72" t="s">
        <v>153</v>
      </c>
    </row>
    <row r="18" spans="1:18" s="49" customFormat="1" ht="101.45">
      <c r="A18" s="82" t="s">
        <v>166</v>
      </c>
      <c r="B18" s="83"/>
      <c r="C18" s="84" t="s">
        <v>158</v>
      </c>
      <c r="D18" s="84"/>
      <c r="E18" s="84"/>
      <c r="F18" s="84"/>
      <c r="G18" s="74" t="s">
        <v>167</v>
      </c>
      <c r="H18" s="74" t="s">
        <v>7</v>
      </c>
      <c r="I18" s="73" t="s">
        <v>168</v>
      </c>
      <c r="J18" s="74" t="s">
        <v>169</v>
      </c>
      <c r="K18" s="84" t="s">
        <v>170</v>
      </c>
      <c r="L18" s="84"/>
      <c r="M18" s="84"/>
      <c r="N18" s="84"/>
      <c r="O18" s="74" t="s">
        <v>171</v>
      </c>
      <c r="P18" s="73" t="s">
        <v>172</v>
      </c>
      <c r="Q18" s="73" t="s">
        <v>156</v>
      </c>
      <c r="R18" s="75" t="s">
        <v>153</v>
      </c>
    </row>
    <row r="19" spans="1:18" s="49" customFormat="1" ht="63" customHeight="1">
      <c r="A19" s="85" t="s">
        <v>173</v>
      </c>
      <c r="B19" s="86"/>
      <c r="C19" s="89" t="s">
        <v>158</v>
      </c>
      <c r="D19" s="89"/>
      <c r="E19" s="89"/>
      <c r="F19" s="89"/>
      <c r="G19" s="77" t="s">
        <v>34</v>
      </c>
      <c r="H19" s="77" t="s">
        <v>74</v>
      </c>
      <c r="I19" s="76" t="s">
        <v>174</v>
      </c>
      <c r="J19" s="91"/>
      <c r="K19" s="89"/>
      <c r="L19" s="89"/>
      <c r="M19" s="89"/>
      <c r="N19" s="89"/>
      <c r="O19" s="77" t="s">
        <v>154</v>
      </c>
      <c r="P19" s="76" t="s">
        <v>155</v>
      </c>
      <c r="Q19" s="76" t="s">
        <v>156</v>
      </c>
      <c r="R19" s="78" t="s">
        <v>153</v>
      </c>
    </row>
    <row r="20" spans="1:18" s="49" customFormat="1" ht="44.1" thickBot="1">
      <c r="A20" s="87"/>
      <c r="B20" s="88"/>
      <c r="C20" s="90"/>
      <c r="D20" s="90"/>
      <c r="E20" s="90"/>
      <c r="F20" s="90"/>
      <c r="G20" s="80" t="s">
        <v>144</v>
      </c>
      <c r="H20" s="80" t="s">
        <v>7</v>
      </c>
      <c r="I20" s="79" t="s">
        <v>175</v>
      </c>
      <c r="J20" s="92"/>
      <c r="K20" s="90"/>
      <c r="L20" s="90"/>
      <c r="M20" s="90"/>
      <c r="N20" s="90"/>
      <c r="O20" s="80"/>
      <c r="P20" s="79"/>
      <c r="Q20" s="79"/>
      <c r="R20" s="81"/>
    </row>
  </sheetData>
  <mergeCells count="32">
    <mergeCell ref="A1:B1"/>
    <mergeCell ref="D1:F1"/>
    <mergeCell ref="G1:J1"/>
    <mergeCell ref="B2:U2"/>
    <mergeCell ref="B3:U3"/>
    <mergeCell ref="Q11:R11"/>
    <mergeCell ref="K12:N12"/>
    <mergeCell ref="A13:B15"/>
    <mergeCell ref="C13:F15"/>
    <mergeCell ref="G13:G15"/>
    <mergeCell ref="H13:H15"/>
    <mergeCell ref="I13:I15"/>
    <mergeCell ref="J13:J15"/>
    <mergeCell ref="K13:N15"/>
    <mergeCell ref="A11:B12"/>
    <mergeCell ref="C11:F12"/>
    <mergeCell ref="G11:I11"/>
    <mergeCell ref="J11:N11"/>
    <mergeCell ref="O11:P11"/>
    <mergeCell ref="A16:B16"/>
    <mergeCell ref="C16:F16"/>
    <mergeCell ref="K16:N16"/>
    <mergeCell ref="A17:B17"/>
    <mergeCell ref="C17:F17"/>
    <mergeCell ref="K17:N17"/>
    <mergeCell ref="A18:B18"/>
    <mergeCell ref="C18:F18"/>
    <mergeCell ref="K18:N18"/>
    <mergeCell ref="A19:B20"/>
    <mergeCell ref="C19:F20"/>
    <mergeCell ref="J19:J20"/>
    <mergeCell ref="K19:N20"/>
  </mergeCells>
  <hyperlinks>
    <hyperlink ref="A1:B1" location="ModeloDominio!A1" display="&lt;&lt; Ir al modelo de dominio" xr:uid="{F0B4D153-C840-4C83-8E36-B1E561473407}"/>
    <hyperlink ref="D1" location="ListadoObjetosDominio!A1" display="&lt;&lt; Ir al listado de objetos de dominio" xr:uid="{73DB0038-C440-4808-B05F-F494823DF316}"/>
    <hyperlink ref="G1" location="'C-Dueno'!A1" display="&lt;&lt; Ir a la caracterización del objeto de dominio" xr:uid="{38C66F1A-9A5C-42AD-889D-8A8F197E4302}"/>
    <hyperlink ref="G1:J1" location="'M-Pais'!A1" display="Ir al muestreo de datos del objeto de dominio &gt;&gt;" xr:uid="{2AD88D9A-8E3B-4DD7-BDD8-2695D97DEEFE}"/>
    <hyperlink ref="C9" location="'C-Pais'!A6" display="'C-Pais'!A6" xr:uid="{2997E2FD-1461-4428-8B81-45ED5237C9F1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B529-09FA-4B4E-BD19-F4CE1244C280}">
  <dimension ref="A1:M12"/>
  <sheetViews>
    <sheetView workbookViewId="0">
      <pane ySplit="1" topLeftCell="A2" activePane="bottomLeft" state="frozen"/>
      <selection pane="bottomLeft" activeCell="J8" sqref="J8"/>
    </sheetView>
  </sheetViews>
  <sheetFormatPr defaultColWidth="10.85546875" defaultRowHeight="14.45"/>
  <cols>
    <col min="1" max="1" width="15.28515625" style="3" bestFit="1" customWidth="1"/>
    <col min="2" max="2" width="31.5703125" style="3" bestFit="1" customWidth="1"/>
    <col min="3" max="3" width="46.28515625" style="3" customWidth="1"/>
    <col min="4" max="4" width="14.5703125" style="3" bestFit="1" customWidth="1"/>
    <col min="5" max="6" width="10" style="3" bestFit="1" customWidth="1"/>
    <col min="7" max="7" width="6.85546875" style="3" bestFit="1" customWidth="1"/>
    <col min="8" max="8" width="10" style="3" bestFit="1" customWidth="1"/>
    <col min="9" max="9" width="13" style="3" bestFit="1" customWidth="1"/>
    <col min="10" max="10" width="16.5703125" style="3" bestFit="1" customWidth="1"/>
    <col min="11" max="11" width="19.140625" style="3" bestFit="1" customWidth="1"/>
    <col min="12" max="12" width="14.7109375" style="3" bestFit="1" customWidth="1"/>
    <col min="13" max="13" width="4.85546875" style="3" bestFit="1" customWidth="1"/>
    <col min="14" max="16384" width="10.85546875" style="3"/>
  </cols>
  <sheetData>
    <row r="1" spans="1:13" ht="15" thickBot="1">
      <c r="A1" s="120" t="s">
        <v>24</v>
      </c>
      <c r="B1" s="120"/>
      <c r="C1" s="121" t="s">
        <v>25</v>
      </c>
      <c r="D1" s="121"/>
      <c r="E1" s="121"/>
      <c r="F1" s="120" t="s">
        <v>27</v>
      </c>
      <c r="G1" s="120"/>
      <c r="H1" s="120"/>
      <c r="I1" s="120"/>
      <c r="J1" s="110" t="s">
        <v>26</v>
      </c>
      <c r="K1" s="110"/>
      <c r="L1" s="110"/>
      <c r="M1" s="110"/>
    </row>
    <row r="2" spans="1:13" s="49" customFormat="1">
      <c r="A2" s="47" t="s">
        <v>176</v>
      </c>
      <c r="B2" s="125" t="str">
        <f>ListadoObjetosDominio!B3</f>
        <v>Pais</v>
      </c>
      <c r="C2" s="125"/>
      <c r="D2" s="125"/>
      <c r="E2" s="125"/>
      <c r="F2" s="125"/>
      <c r="G2" s="125"/>
      <c r="H2" s="125"/>
      <c r="I2" s="125"/>
      <c r="J2" s="125"/>
      <c r="K2" s="125"/>
      <c r="L2" s="48"/>
    </row>
    <row r="3" spans="1:13" s="49" customFormat="1" ht="33.6" customHeight="1">
      <c r="A3" s="50" t="s">
        <v>29</v>
      </c>
      <c r="B3" s="106" t="str">
        <f>ListadoObjetosDominio!C3</f>
        <v>Objeto de dominio que representa a cada uno de los países a los que pertenecen los departamentos y ciudades donde están ubicadas las sedes de la veterinaria y donde también pueden vivir los dueños</v>
      </c>
      <c r="C3" s="106"/>
      <c r="D3" s="106"/>
      <c r="E3" s="106"/>
      <c r="F3" s="106"/>
      <c r="G3" s="106"/>
      <c r="H3" s="106"/>
      <c r="I3" s="106"/>
      <c r="J3" s="106"/>
      <c r="K3" s="106"/>
      <c r="L3" s="51"/>
    </row>
    <row r="4" spans="1:13" s="49" customFormat="1" ht="29.1" customHeight="1">
      <c r="A4" s="52" t="s">
        <v>177</v>
      </c>
      <c r="B4" s="126" t="s">
        <v>178</v>
      </c>
      <c r="C4" s="126"/>
      <c r="D4" s="53" t="s">
        <v>179</v>
      </c>
      <c r="E4" s="127" t="s">
        <v>180</v>
      </c>
      <c r="F4" s="127"/>
      <c r="G4" s="128" t="s">
        <v>181</v>
      </c>
      <c r="H4" s="128"/>
      <c r="I4" s="55" t="s">
        <v>182</v>
      </c>
      <c r="J4" s="56" t="s">
        <v>183</v>
      </c>
      <c r="K4" s="57" t="s">
        <v>184</v>
      </c>
      <c r="L4" s="51"/>
    </row>
    <row r="5" spans="1:13" s="49" customFormat="1">
      <c r="A5" s="129" t="s">
        <v>177</v>
      </c>
      <c r="B5" s="126" t="s">
        <v>185</v>
      </c>
      <c r="C5" s="126" t="s">
        <v>4</v>
      </c>
      <c r="D5" s="130" t="s">
        <v>186</v>
      </c>
      <c r="E5" s="127" t="s">
        <v>187</v>
      </c>
      <c r="F5" s="127"/>
      <c r="G5" s="132" t="s">
        <v>188</v>
      </c>
      <c r="H5" s="132"/>
      <c r="I5" s="133" t="s">
        <v>189</v>
      </c>
      <c r="J5" s="134" t="s">
        <v>190</v>
      </c>
      <c r="K5" s="135" t="s">
        <v>191</v>
      </c>
    </row>
    <row r="6" spans="1:13" s="49" customFormat="1">
      <c r="A6" s="129"/>
      <c r="B6" s="126"/>
      <c r="C6" s="126"/>
      <c r="D6" s="131"/>
      <c r="E6" s="54" t="s">
        <v>192</v>
      </c>
      <c r="F6" s="54" t="s">
        <v>4</v>
      </c>
      <c r="G6" s="58" t="s">
        <v>193</v>
      </c>
      <c r="H6" s="58" t="s">
        <v>4</v>
      </c>
      <c r="I6" s="133"/>
      <c r="J6" s="134"/>
      <c r="K6" s="135"/>
    </row>
    <row r="7" spans="1:13" s="49" customFormat="1" ht="29.1">
      <c r="A7" s="59" t="s">
        <v>194</v>
      </c>
      <c r="B7" s="60" t="s">
        <v>195</v>
      </c>
      <c r="C7" s="63" t="s">
        <v>196</v>
      </c>
      <c r="D7" s="60" t="str">
        <f>$B$2</f>
        <v>Pais</v>
      </c>
      <c r="E7" s="60"/>
      <c r="F7" s="60"/>
      <c r="G7" s="60"/>
      <c r="H7" s="60"/>
      <c r="I7" s="60"/>
      <c r="J7" s="60" t="s">
        <v>197</v>
      </c>
      <c r="K7" s="60"/>
    </row>
    <row r="8" spans="1:13" s="49" customFormat="1" ht="29.1">
      <c r="A8" s="59" t="s">
        <v>198</v>
      </c>
      <c r="B8" s="60" t="s">
        <v>195</v>
      </c>
      <c r="C8" s="63" t="s">
        <v>196</v>
      </c>
      <c r="D8" s="60" t="str">
        <f>$B$2</f>
        <v>Pais</v>
      </c>
      <c r="E8" s="60"/>
      <c r="F8" s="60"/>
      <c r="G8" s="60"/>
      <c r="H8" s="60"/>
      <c r="I8" s="60"/>
      <c r="J8" s="60" t="s">
        <v>197</v>
      </c>
      <c r="K8" s="60"/>
    </row>
    <row r="9" spans="1:13" s="49" customFormat="1" ht="29.1">
      <c r="A9" s="59" t="s">
        <v>10</v>
      </c>
      <c r="B9" s="60" t="s">
        <v>195</v>
      </c>
      <c r="C9" s="63" t="s">
        <v>196</v>
      </c>
      <c r="D9" s="60" t="str">
        <f>$B$2</f>
        <v>Pais</v>
      </c>
      <c r="E9" s="60"/>
      <c r="F9" s="60"/>
      <c r="G9" s="60"/>
      <c r="H9" s="60"/>
      <c r="I9" s="60"/>
      <c r="J9" s="60" t="s">
        <v>197</v>
      </c>
      <c r="K9" s="60"/>
    </row>
    <row r="10" spans="1:13" s="49" customFormat="1" ht="15" thickBot="1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</row>
    <row r="11" spans="1:13" s="49" customFormat="1"/>
    <row r="12" spans="1:13" s="49" customFormat="1"/>
  </sheetData>
  <mergeCells count="18">
    <mergeCell ref="I5:I6"/>
    <mergeCell ref="J5:J6"/>
    <mergeCell ref="K5:K6"/>
    <mergeCell ref="J1:M1"/>
    <mergeCell ref="B4:C4"/>
    <mergeCell ref="E4:F4"/>
    <mergeCell ref="G4:H4"/>
    <mergeCell ref="A5:A6"/>
    <mergeCell ref="B5:B6"/>
    <mergeCell ref="C5:C6"/>
    <mergeCell ref="D5:D6"/>
    <mergeCell ref="E5:F5"/>
    <mergeCell ref="G5:H5"/>
    <mergeCell ref="A1:B1"/>
    <mergeCell ref="C1:E1"/>
    <mergeCell ref="F1:I1"/>
    <mergeCell ref="B2:K2"/>
    <mergeCell ref="B3:K3"/>
  </mergeCells>
  <hyperlinks>
    <hyperlink ref="A1:B1" location="ModeloDominio!A1" display="&lt;&lt; Ir al modelo de dominio" xr:uid="{B7CC13DC-51FD-4AF1-ACA5-8C60CB64E628}"/>
    <hyperlink ref="C1" location="ListadoObjetosDominio!A1" display="&lt;&lt; Ir al listado de objetos de dominio" xr:uid="{D70F9317-2485-443D-96E1-8B4AFCA41EF0}"/>
    <hyperlink ref="F1" location="'C-Dueno'!A1" display="&lt;&lt; Ir a la caracterización del objeto de dominio" xr:uid="{E977C768-296A-4B0A-9AD0-72C2CD18548F}"/>
    <hyperlink ref="F1:I1" location="'C-Pais'!A1" display="&lt;&lt; Ir a la caracterización del objeto de dominio" xr:uid="{CAB18027-1DDD-4123-88F6-A0D7F9B5BE10}"/>
    <hyperlink ref="J1" location="'C-Dueno'!A1" display="&lt;&lt; Ir a la caracterización del objeto de dominio" xr:uid="{EFF2406C-48F1-44CF-BF17-375F209447EB}"/>
    <hyperlink ref="J1:M1" location="'M-Pais'!A1" display="Ir al muestreo de datos del objeto de dominio &gt;&gt;" xr:uid="{1C5B824F-E9F0-4087-9685-6F59C84EBD5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3E0D-35F6-48F0-B4EC-55BE8162E70C}">
  <dimension ref="A1:O18"/>
  <sheetViews>
    <sheetView workbookViewId="0">
      <pane ySplit="1" topLeftCell="A2" activePane="bottomLeft" state="frozen"/>
      <selection pane="bottomLeft" activeCell="D18" sqref="D18"/>
    </sheetView>
  </sheetViews>
  <sheetFormatPr defaultColWidth="10.85546875" defaultRowHeight="14.45"/>
  <cols>
    <col min="1" max="1" width="29.85546875" style="3" customWidth="1"/>
    <col min="2" max="2" width="33.42578125" style="3" customWidth="1"/>
    <col min="3" max="3" width="20.42578125" style="3" bestFit="1" customWidth="1"/>
    <col min="4" max="4" width="13" style="3" bestFit="1" customWidth="1"/>
    <col min="5" max="5" width="14.5703125" style="3" bestFit="1" customWidth="1"/>
    <col min="6" max="6" width="13.28515625" style="3" bestFit="1" customWidth="1"/>
    <col min="7" max="7" width="14.85546875" style="3" bestFit="1" customWidth="1"/>
    <col min="8" max="8" width="13.85546875" style="3" bestFit="1" customWidth="1"/>
    <col min="9" max="9" width="15.28515625" style="3" bestFit="1" customWidth="1"/>
    <col min="10" max="10" width="17.42578125" style="3" bestFit="1" customWidth="1"/>
    <col min="11" max="11" width="6.5703125" style="3" bestFit="1" customWidth="1"/>
    <col min="12" max="12" width="12.5703125" style="3" bestFit="1" customWidth="1"/>
    <col min="13" max="13" width="4.28515625" style="3" bestFit="1" customWidth="1"/>
    <col min="14" max="14" width="14.7109375" style="3" bestFit="1" customWidth="1"/>
    <col min="15" max="15" width="4.85546875" style="3" bestFit="1" customWidth="1"/>
    <col min="16" max="16384" width="10.85546875" style="3"/>
  </cols>
  <sheetData>
    <row r="1" spans="1:15">
      <c r="A1" s="120" t="s">
        <v>24</v>
      </c>
      <c r="B1" s="120"/>
      <c r="C1" s="121" t="s">
        <v>25</v>
      </c>
      <c r="D1" s="121"/>
      <c r="E1" s="121"/>
      <c r="F1" s="120" t="s">
        <v>27</v>
      </c>
      <c r="G1" s="120"/>
      <c r="H1" s="120"/>
      <c r="I1" s="120"/>
    </row>
    <row r="2" spans="1:15">
      <c r="A2" s="24" t="s">
        <v>28</v>
      </c>
      <c r="B2" s="122" t="str">
        <f>ListadoObjetosDominio!B3</f>
        <v>Pais</v>
      </c>
      <c r="C2" s="122"/>
    </row>
    <row r="3" spans="1:15" ht="52.5" customHeight="1">
      <c r="A3" s="24" t="s">
        <v>29</v>
      </c>
      <c r="B3" s="123" t="str">
        <f>ListadoObjetosDominio!C3</f>
        <v>Objeto de dominio que representa a cada uno de los países a los que pertenecen los departamentos y ciudades donde están ubicadas las sedes de la veterinaria y donde también pueden vivir los dueños</v>
      </c>
      <c r="C3" s="123"/>
    </row>
    <row r="4" spans="1:15" ht="35.450000000000003" customHeight="1">
      <c r="A4" s="19" t="s">
        <v>30</v>
      </c>
      <c r="B4" s="19" t="s">
        <v>199</v>
      </c>
      <c r="C4" s="19" t="s">
        <v>200</v>
      </c>
    </row>
    <row r="5" spans="1:15" s="5" customFormat="1">
      <c r="A5" s="20" t="s">
        <v>34</v>
      </c>
      <c r="B5" s="20" t="s">
        <v>35</v>
      </c>
      <c r="C5" s="21" t="s">
        <v>37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>
      <c r="A6" s="22">
        <v>1</v>
      </c>
      <c r="B6" s="6" t="s">
        <v>201</v>
      </c>
      <c r="C6" s="23" t="str">
        <f>B6</f>
        <v>Colombia</v>
      </c>
      <c r="I6" s="15"/>
      <c r="N6" s="16"/>
    </row>
    <row r="7" spans="1:15">
      <c r="A7" s="22">
        <v>2</v>
      </c>
      <c r="B7" s="6" t="s">
        <v>202</v>
      </c>
      <c r="C7" s="23" t="str">
        <f>B7</f>
        <v>Ecuador</v>
      </c>
      <c r="I7" s="15"/>
      <c r="N7" s="16"/>
    </row>
    <row r="8" spans="1:15">
      <c r="A8" s="22">
        <v>3</v>
      </c>
      <c r="B8" s="6" t="s">
        <v>203</v>
      </c>
      <c r="C8" s="23" t="str">
        <f>B8</f>
        <v>Brasil</v>
      </c>
      <c r="I8" s="15"/>
      <c r="N8" s="16"/>
    </row>
    <row r="9" spans="1:15">
      <c r="A9" s="22">
        <v>4</v>
      </c>
      <c r="B9" s="6" t="s">
        <v>204</v>
      </c>
      <c r="C9" s="23" t="str">
        <f>B9</f>
        <v>Chile</v>
      </c>
      <c r="I9" s="15"/>
      <c r="N9" s="16"/>
    </row>
    <row r="10" spans="1:15">
      <c r="A10" s="22">
        <v>5</v>
      </c>
      <c r="B10" s="6" t="s">
        <v>205</v>
      </c>
      <c r="C10" s="23" t="str">
        <f>B10</f>
        <v>Argentina</v>
      </c>
    </row>
    <row r="13" spans="1:15">
      <c r="A13" s="25"/>
      <c r="B13" s="3" t="s">
        <v>43</v>
      </c>
    </row>
    <row r="14" spans="1:15">
      <c r="A14" s="17"/>
      <c r="B14" s="3" t="s">
        <v>44</v>
      </c>
    </row>
    <row r="15" spans="1:15">
      <c r="A15" s="18"/>
      <c r="B15" s="3" t="s">
        <v>45</v>
      </c>
    </row>
    <row r="16" spans="1:15">
      <c r="B16" s="3" t="s">
        <v>46</v>
      </c>
    </row>
    <row r="17" spans="1:2">
      <c r="A17" s="13"/>
      <c r="B17" s="3" t="s">
        <v>47</v>
      </c>
    </row>
    <row r="18" spans="1:2">
      <c r="A18" s="14"/>
      <c r="B18" s="3" t="s">
        <v>48</v>
      </c>
    </row>
  </sheetData>
  <mergeCells count="5">
    <mergeCell ref="A1:B1"/>
    <mergeCell ref="C1:E1"/>
    <mergeCell ref="F1:I1"/>
    <mergeCell ref="B2:C2"/>
    <mergeCell ref="B3:C3"/>
  </mergeCells>
  <hyperlinks>
    <hyperlink ref="A1:B1" location="ModeloDominio!A1" display="&lt;&lt; Ir al modelo de dominio" xr:uid="{F5F26FB4-C75C-4A0E-B565-64E4F518A52C}"/>
    <hyperlink ref="C1" location="ListadoObjetosDominio!A1" display="&lt;&lt; Ir al listado de objetos de dominio" xr:uid="{7F1BCD75-917A-49C8-B420-56BCB98097DF}"/>
    <hyperlink ref="F1" location="'C-Dueno'!A1" display="&lt;&lt; Ir a la caracterización del objeto de dominio" xr:uid="{107C7CBF-3AA9-4570-BF70-C775F59665F0}"/>
    <hyperlink ref="F1:I1" location="'C-Pais'!A1" display="&lt;&lt; Ir a la caracterización del objeto de dominio" xr:uid="{572890DE-B63F-4C4C-9720-DE778A256EE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1E46-D5AA-42B6-B381-EE21B9911D02}">
  <dimension ref="A1:I1"/>
  <sheetViews>
    <sheetView workbookViewId="0">
      <pane ySplit="1" topLeftCell="A2" activePane="bottomLeft" state="frozen"/>
      <selection pane="bottomLeft" activeCell="F1" sqref="F1:I1"/>
    </sheetView>
  </sheetViews>
  <sheetFormatPr defaultColWidth="10.85546875" defaultRowHeight="14.45"/>
  <cols>
    <col min="1" max="16384" width="10.85546875" style="1"/>
  </cols>
  <sheetData>
    <row r="1" spans="1:9">
      <c r="A1" s="118" t="s">
        <v>24</v>
      </c>
      <c r="B1" s="118"/>
      <c r="C1" s="119" t="s">
        <v>25</v>
      </c>
      <c r="D1" s="119"/>
      <c r="E1" s="119"/>
      <c r="F1" s="118" t="s">
        <v>26</v>
      </c>
      <c r="G1" s="118"/>
      <c r="H1" s="118"/>
      <c r="I1" s="118"/>
    </row>
  </sheetData>
  <mergeCells count="3">
    <mergeCell ref="A1:B1"/>
    <mergeCell ref="C1:E1"/>
    <mergeCell ref="F1:I1"/>
  </mergeCells>
  <hyperlinks>
    <hyperlink ref="A1:B1" location="ModeloDominio!A1" display="&lt;&lt; Ir al modelo de dominio" xr:uid="{B6C6C4B3-79D7-497A-B79E-03360A3E1488}"/>
    <hyperlink ref="C1" location="ListadoObjetosDominio!A1" display="&lt;&lt; Ir al listado de objetos de dominio" xr:uid="{0690886D-9772-4F8C-9EE2-F22E4F18000E}"/>
    <hyperlink ref="F1" location="'C-Dueno'!A1" display="&lt;&lt; Ir a la caracterización del objeto de dominio" xr:uid="{1621BC84-F39C-479C-8258-4E3FA5866426}"/>
    <hyperlink ref="F1:I1" location="'M-TipoDocumentoIdentificacion'!A1" display="Ir al muestreo de datos del objeto de dominio &gt;&gt;" xr:uid="{F8FE5081-FCBB-4C29-8EE2-B7445608CD5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1438-BFC0-4E40-9601-BEC3D825C452}">
  <dimension ref="A1:O18"/>
  <sheetViews>
    <sheetView workbookViewId="0">
      <pane ySplit="1" topLeftCell="A2" activePane="bottomLeft" state="frozen"/>
      <selection pane="bottomLeft" activeCell="A7" sqref="A7"/>
    </sheetView>
  </sheetViews>
  <sheetFormatPr defaultColWidth="10.85546875" defaultRowHeight="14.45"/>
  <cols>
    <col min="1" max="1" width="29.85546875" style="3" customWidth="1"/>
    <col min="2" max="2" width="33.42578125" style="3" customWidth="1"/>
    <col min="3" max="3" width="20.42578125" style="3" bestFit="1" customWidth="1"/>
    <col min="4" max="4" width="13" style="3" bestFit="1" customWidth="1"/>
    <col min="5" max="5" width="14.5703125" style="3" bestFit="1" customWidth="1"/>
    <col min="6" max="6" width="13.28515625" style="3" bestFit="1" customWidth="1"/>
    <col min="7" max="7" width="14.85546875" style="3" bestFit="1" customWidth="1"/>
    <col min="8" max="8" width="13.85546875" style="3" bestFit="1" customWidth="1"/>
    <col min="9" max="9" width="15.28515625" style="3" bestFit="1" customWidth="1"/>
    <col min="10" max="10" width="17.42578125" style="3" bestFit="1" customWidth="1"/>
    <col min="11" max="11" width="6.5703125" style="3" bestFit="1" customWidth="1"/>
    <col min="12" max="12" width="12.5703125" style="3" bestFit="1" customWidth="1"/>
    <col min="13" max="13" width="4.28515625" style="3" bestFit="1" customWidth="1"/>
    <col min="14" max="14" width="14.7109375" style="3" bestFit="1" customWidth="1"/>
    <col min="15" max="15" width="4.85546875" style="3" bestFit="1" customWidth="1"/>
    <col min="16" max="16384" width="10.85546875" style="3"/>
  </cols>
  <sheetData>
    <row r="1" spans="1:15">
      <c r="A1" s="120" t="s">
        <v>24</v>
      </c>
      <c r="B1" s="120"/>
      <c r="C1" s="121" t="s">
        <v>25</v>
      </c>
      <c r="D1" s="121"/>
      <c r="E1" s="121"/>
      <c r="F1" s="120" t="s">
        <v>27</v>
      </c>
      <c r="G1" s="120"/>
      <c r="H1" s="120"/>
      <c r="I1" s="120"/>
    </row>
    <row r="2" spans="1:15">
      <c r="A2" s="24" t="s">
        <v>28</v>
      </c>
      <c r="B2" s="122" t="str">
        <f>ListadoObjetosDominio!B5</f>
        <v>TipoDocumentoIdentificacion</v>
      </c>
      <c r="C2" s="122"/>
    </row>
    <row r="3" spans="1:15" ht="52.5" customHeight="1">
      <c r="A3" s="24" t="s">
        <v>29</v>
      </c>
      <c r="B3" s="123" t="str">
        <f>ListadoObjetosDominio!C5</f>
        <v>Objeto de dominio que representa a cada uno de los tipos de identificación que pueden tener los dueños de las mascotas</v>
      </c>
      <c r="C3" s="123"/>
    </row>
    <row r="4" spans="1:15" ht="35.450000000000003" customHeight="1">
      <c r="A4" s="19" t="s">
        <v>30</v>
      </c>
      <c r="B4" s="19" t="s">
        <v>206</v>
      </c>
      <c r="C4" s="19" t="s">
        <v>207</v>
      </c>
    </row>
    <row r="5" spans="1:15" s="5" customFormat="1">
      <c r="A5" s="20" t="s">
        <v>34</v>
      </c>
      <c r="B5" s="20" t="s">
        <v>35</v>
      </c>
      <c r="C5" s="21" t="s">
        <v>37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>
      <c r="A6" s="22">
        <v>1</v>
      </c>
      <c r="B6" s="6" t="s">
        <v>208</v>
      </c>
      <c r="C6" s="23" t="str">
        <f>B6</f>
        <v>Cédula</v>
      </c>
      <c r="I6" s="15"/>
      <c r="N6" s="16"/>
    </row>
    <row r="7" spans="1:15">
      <c r="A7" s="22">
        <v>2</v>
      </c>
      <c r="B7" s="6" t="s">
        <v>209</v>
      </c>
      <c r="C7" s="23" t="str">
        <f>B7</f>
        <v>Tarjeta de Identidad</v>
      </c>
      <c r="I7" s="15"/>
      <c r="N7" s="16"/>
    </row>
    <row r="8" spans="1:15">
      <c r="A8" s="22">
        <v>3</v>
      </c>
      <c r="B8" s="6" t="s">
        <v>210</v>
      </c>
      <c r="C8" s="23" t="str">
        <f>B8</f>
        <v>Registro Civil</v>
      </c>
      <c r="I8" s="15"/>
      <c r="N8" s="16"/>
    </row>
    <row r="9" spans="1:15">
      <c r="A9" s="22">
        <v>4</v>
      </c>
      <c r="B9" s="6" t="s">
        <v>211</v>
      </c>
      <c r="C9" s="23" t="str">
        <f>B9</f>
        <v>Pasaporte</v>
      </c>
      <c r="I9" s="15"/>
      <c r="N9" s="16"/>
    </row>
    <row r="10" spans="1:15">
      <c r="A10" s="22">
        <v>5</v>
      </c>
      <c r="B10" s="6" t="s">
        <v>212</v>
      </c>
      <c r="C10" s="23" t="str">
        <f>B10</f>
        <v>Cédula Extranjería</v>
      </c>
    </row>
    <row r="13" spans="1:15">
      <c r="A13" s="25"/>
      <c r="B13" s="3" t="s">
        <v>43</v>
      </c>
    </row>
    <row r="14" spans="1:15">
      <c r="A14" s="17"/>
      <c r="B14" s="3" t="s">
        <v>44</v>
      </c>
    </row>
    <row r="15" spans="1:15">
      <c r="A15" s="18"/>
      <c r="B15" s="3" t="s">
        <v>45</v>
      </c>
    </row>
    <row r="16" spans="1:15">
      <c r="B16" s="3" t="s">
        <v>46</v>
      </c>
    </row>
    <row r="17" spans="1:2">
      <c r="A17" s="13"/>
      <c r="B17" s="3" t="s">
        <v>47</v>
      </c>
    </row>
    <row r="18" spans="1:2">
      <c r="A18" s="14"/>
      <c r="B18" s="3" t="s">
        <v>48</v>
      </c>
    </row>
  </sheetData>
  <mergeCells count="5">
    <mergeCell ref="A1:B1"/>
    <mergeCell ref="C1:E1"/>
    <mergeCell ref="F1:I1"/>
    <mergeCell ref="B2:C2"/>
    <mergeCell ref="B3:C3"/>
  </mergeCells>
  <hyperlinks>
    <hyperlink ref="A1:B1" location="ModeloDominio!A1" display="&lt;&lt; Ir al modelo de dominio" xr:uid="{BF6D5A83-CA8F-4C8D-8EB5-D127C933AB32}"/>
    <hyperlink ref="C1" location="ListadoObjetosDominio!A1" display="&lt;&lt; Ir al listado de objetos de dominio" xr:uid="{63015056-BEFB-4640-B6AB-6E6E5103A934}"/>
    <hyperlink ref="F1" location="'C-Dueno'!A1" display="&lt;&lt; Ir a la caracterización del objeto de dominio" xr:uid="{B09DB86D-37FD-4B28-91F0-92A6C9237FBE}"/>
    <hyperlink ref="F1:I1" location="'C-TipoDocumentoIdentificacion'!A1" display="&lt;&lt; Ir a la caracterización del objeto de dominio" xr:uid="{DBC48FB3-B94D-4D8D-BA95-F74E836DD4F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8F91A2BEED3A43B860CAD7695F310A" ma:contentTypeVersion="3" ma:contentTypeDescription="Crear nuevo documento." ma:contentTypeScope="" ma:versionID="93b23c8014fd49258ed1a25ee7de450b">
  <xsd:schema xmlns:xsd="http://www.w3.org/2001/XMLSchema" xmlns:xs="http://www.w3.org/2001/XMLSchema" xmlns:p="http://schemas.microsoft.com/office/2006/metadata/properties" xmlns:ns2="8380c7d9-361b-4fdc-9c94-02d332ef4982" targetNamespace="http://schemas.microsoft.com/office/2006/metadata/properties" ma:root="true" ma:fieldsID="eb422298f600919fe4ac26af2667b695" ns2:_="">
    <xsd:import namespace="8380c7d9-361b-4fdc-9c94-02d332ef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0c7d9-361b-4fdc-9c94-02d332ef4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E281B9-72C9-405C-9BD3-FAEBB5060816}"/>
</file>

<file path=customXml/itemProps2.xml><?xml version="1.0" encoding="utf-8"?>
<ds:datastoreItem xmlns:ds="http://schemas.openxmlformats.org/officeDocument/2006/customXml" ds:itemID="{2C032A55-A54E-4FC1-AA03-C32B877AFB4D}"/>
</file>

<file path=customXml/itemProps3.xml><?xml version="1.0" encoding="utf-8"?>
<ds:datastoreItem xmlns:ds="http://schemas.openxmlformats.org/officeDocument/2006/customXml" ds:itemID="{0154C704-DC4D-4D0F-A633-2D05255E092A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Wider Farid Sanchez Garzon</cp:lastModifiedBy>
  <cp:revision/>
  <dcterms:created xsi:type="dcterms:W3CDTF">2026-02-27T23:16:25Z</dcterms:created>
  <dcterms:modified xsi:type="dcterms:W3CDTF">2026-08-14T01:12:13Z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0x0101006E8F91A2BEED3A43B860CAD7695F310A</vt:lpwstr>
  </property>
</Properties>
</file>